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ppcoloma/Documents/ChatGPT/Monitoreo IoT Petróleo/outputs/levantamiento_tecnico/"/>
    </mc:Choice>
  </mc:AlternateContent>
  <xr:revisionPtr revIDLastSave="0" documentId="13_ncr:20001_{5EE27874-E0A2-F940-A49B-7E360D1A1C68}" xr6:coauthVersionLast="47" xr6:coauthVersionMax="47" xr10:uidLastSave="{00000000-0000-0000-0000-000000000000}"/>
  <bookViews>
    <workbookView xWindow="30240" yWindow="600" windowWidth="34400" windowHeight="28200" activeTab="1" xr2:uid="{00000000-000D-0000-FFFF-FFFF00000000}"/>
  </bookViews>
  <sheets>
    <sheet name="Inicio" sheetId="1" r:id="rId1"/>
    <sheet name="Levantamiento técnico" sheetId="2" r:id="rId2"/>
    <sheet name="Listas" sheetId="3" r:id="rId3"/>
    <sheet name="Decisiones y riesgo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13" i="1" l="1"/>
</calcChain>
</file>

<file path=xl/sharedStrings.xml><?xml version="1.0" encoding="utf-8"?>
<sst xmlns="http://schemas.openxmlformats.org/spreadsheetml/2006/main" count="1272" uniqueCount="777">
  <si>
    <t>LEVANTAMIENTO TÉCNICO · PILOTO IoT DE COMBUSTIBLE</t>
  </si>
  <si>
    <t>Completa las celdas amarillas de “Valor / respuesta” y cambia el Estado. No incluyas contraseñas, claves privadas ni secretos.</t>
  </si>
  <si>
    <t>Indicador</t>
  </si>
  <si>
    <t>Resultado</t>
  </si>
  <si>
    <t>Cómo completar el levantamiento</t>
  </si>
  <si>
    <t>Total de datos</t>
  </si>
  <si>
    <t>1. Filtra por Área, Responsable o Estado en la hoja Levantamiento técnico.</t>
  </si>
  <si>
    <t>Confirmados</t>
  </si>
  <si>
    <t>2. Escribe la respuesta en la columna amarilla; adjunta referencia en Fuente / evidencia.</t>
  </si>
  <si>
    <t>Por confirmar</t>
  </si>
  <si>
    <t>3. Usa “Por confirmar” cuando exista una propuesta que aún debe validarse.</t>
  </si>
  <si>
    <t>Pendientes</t>
  </si>
  <si>
    <t>4. Cambia a “Confirmado” sólo cuando la fuente o decisión sea definitiva.</t>
  </si>
  <si>
    <t>Bloqueados</t>
  </si>
  <si>
    <t>5. Marca “Bloqueado” si falta una decisión externa e indica el motivo en Observaciones.</t>
  </si>
  <si>
    <t>No aplica</t>
  </si>
  <si>
    <t>Avance sobre aplicables</t>
  </si>
  <si>
    <t>Prioridad de cierre: sistema operativo/CrowdStrike → PLC e interfaces → eléctrico → sensores → red/VPN → seguridad y nube → operación y pruebas.</t>
  </si>
  <si>
    <t>ID</t>
  </si>
  <si>
    <t>Área</t>
  </si>
  <si>
    <t>Tema / componente</t>
  </si>
  <si>
    <t>Dato técnico a completar</t>
  </si>
  <si>
    <t>Por qué se necesita</t>
  </si>
  <si>
    <t>Valor / respuesta</t>
  </si>
  <si>
    <t>Unidad o formato</t>
  </si>
  <si>
    <t>Obligatorio</t>
  </si>
  <si>
    <t>Estado</t>
  </si>
  <si>
    <t>Responsable</t>
  </si>
  <si>
    <t>Fuente / evidencia</t>
  </si>
  <si>
    <t>Observaciones</t>
  </si>
  <si>
    <t>HW-001</t>
  </si>
  <si>
    <t>Hardware / PLC</t>
  </si>
  <si>
    <t>Industrial Shields 19R</t>
  </si>
  <si>
    <t>Referencia comercial exacta del PLC/Raspberry industrial</t>
  </si>
  <si>
    <t>Define imagen, interfaces y montaje</t>
  </si>
  <si>
    <t>Industrial Shields Raspberry PLC 19R con Raspberry Pi 4B 2 GB</t>
  </si>
  <si>
    <t>Modelo / SKU</t>
  </si>
  <si>
    <t>Sí</t>
  </si>
  <si>
    <t>Confirmado</t>
  </si>
  <si>
    <t>Proveedor tecnológico</t>
  </si>
  <si>
    <t>https://www.industrialshields.com/shop</t>
  </si>
  <si>
    <t>Arquitectura padre y modelo confirmados por el usuario; registrar SKU comercial al emitir la compra.</t>
  </si>
  <si>
    <t>HW-002</t>
  </si>
  <si>
    <t>Revisión de hardware y versión de placa</t>
  </si>
  <si>
    <t>Compatibilidad de drivers e imagen</t>
  </si>
  <si>
    <t>Raspberry Pi 4 Model B / BCM2711; revisión física por registrar al recibir</t>
  </si>
  <si>
    <t>Versión</t>
  </si>
  <si>
    <t>https://pip-assets.raspberrypi.com/categories/545-raspberry-pi-4-model-b/documents/RP-008344-DS-1-raspberry-pi-4-product-brief.pdf</t>
  </si>
  <si>
    <t>Registrar revisión de placa y número de serie en acta de recepción.</t>
  </si>
  <si>
    <t>HW-003</t>
  </si>
  <si>
    <t>Procesador</t>
  </si>
  <si>
    <t>Modelo de Raspberry Pi integrado</t>
  </si>
  <si>
    <t>Dimensionamiento y compatibilidad</t>
  </si>
  <si>
    <t>Raspberry Pi 4 Model B; BCM2711, 4× Cortex-A72 ARMv8 64-bit, 1.8 GHz</t>
  </si>
  <si>
    <t>Modelo</t>
  </si>
  <si>
    <t>Equipo definido por el usuario.</t>
  </si>
  <si>
    <t>HW-004</t>
  </si>
  <si>
    <t>Memoria RAM</t>
  </si>
  <si>
    <t>Capacidad de RAM instalada</t>
  </si>
  <si>
    <t>Dimensionamiento de servicios locales</t>
  </si>
  <si>
    <t>GB</t>
  </si>
  <si>
    <t>2 GB LPDDR4; suficiente para servicios livianos sin escritorio.</t>
  </si>
  <si>
    <t>HW-005</t>
  </si>
  <si>
    <t>Almacenamiento</t>
  </si>
  <si>
    <t>Marca, modelo y capacidad de microSD industrial</t>
  </si>
  <si>
    <t>Resistencia y retención local</t>
  </si>
  <si>
    <t>Mejor práctica: margen sobre los 20 GB mínimos, alta resistencia y dos tarjetas idénticas de repuesto.</t>
  </si>
  <si>
    <t>HW-006</t>
  </si>
  <si>
    <t>Endurance/TBW o clasificación industrial de la microSD</t>
  </si>
  <si>
    <t>Estimar vida útil</t>
  </si>
  <si>
    <t>TBW / clase</t>
  </si>
  <si>
    <t>Ficha del fabricante de microSD por seleccionar</t>
  </si>
  <si>
    <t>No adjudicar TBW hasta escoger marca/modelo.</t>
  </si>
  <si>
    <t>HW-007</t>
  </si>
  <si>
    <t>Puertos</t>
  </si>
  <si>
    <t>Puertos disponibles y accesibles en montaje final</t>
  </si>
  <si>
    <t>Conectar K24, OCIO, red y servicio</t>
  </si>
  <si>
    <t>PLC: Ethernet y USB; Raspberry Pi 4B: 2×USB 3.0, 2×USB 2.0, GPIO; bornes industriales del 19R</t>
  </si>
  <si>
    <t>Listado</t>
  </si>
  <si>
    <t>https://pip-assets.raspberrypi.com/categories/545-raspberry-pi-4-model-b/documents/RP-008344-DS-1-raspberry-pi-4-product-brief.pdf | https://www.industrialshields.com/shop</t>
  </si>
  <si>
    <t>Confirmar accesibilidad y mapeo de bornes en la variante comprada.</t>
  </si>
  <si>
    <t>HW-008</t>
  </si>
  <si>
    <t>Entradas digitales</t>
  </si>
  <si>
    <t>Cantidad, tensión y aislamiento de entradas disponibles</t>
  </si>
  <si>
    <t>Lectura K24 y señales futuras</t>
  </si>
  <si>
    <t>19R: 6 entradas totales; 4 analógicas/digitales y 2 digitales aisladas con interrupción</t>
  </si>
  <si>
    <t>Cantidad / V</t>
  </si>
  <si>
    <t>Confirmar tensión/rango y asignación final antes del cableado.</t>
  </si>
  <si>
    <t>HW-009</t>
  </si>
  <si>
    <t>Entradas analógicas</t>
  </si>
  <si>
    <t>Cantidad y rangos admitidos</t>
  </si>
  <si>
    <t>Compatibilidad con OCIO 4–20 mA</t>
  </si>
  <si>
    <t>4 entradas convertibles analógicas/digitales; usar interfaz aislada 4–20 mA para OCIO</t>
  </si>
  <si>
    <t>Cantidad / rango</t>
  </si>
  <si>
    <t>El rango eléctrico exacto depende de la referencia 19R.</t>
  </si>
  <si>
    <t>HW-010</t>
  </si>
  <si>
    <t>Salidas</t>
  </si>
  <si>
    <t>Tipo, cantidad y capacidad de salidas disponibles</t>
  </si>
  <si>
    <t>Mando seguro del relé/contactor</t>
  </si>
  <si>
    <t>19R: 11 salidas; 3 convertibles digital aislada/PWM/analógica y 8 relés</t>
  </si>
  <si>
    <t>Tipo / V / A</t>
  </si>
  <si>
    <t>No accionar la bomba directamente: usar circuito de mando y contactor dimensionado.</t>
  </si>
  <si>
    <t>HW-011</t>
  </si>
  <si>
    <t>Energía</t>
  </si>
  <si>
    <t>Alimentación PLC</t>
  </si>
  <si>
    <t>Tensión de entrada y fuente disponible</t>
  </si>
  <si>
    <t>Diseño eléctrico</t>
  </si>
  <si>
    <t>Fuente DIN industrial 24 VDC regulada; entrada exacta del 19R por verificar</t>
  </si>
  <si>
    <t>VAC/VDC</t>
  </si>
  <si>
    <t>Especialista eléctrico</t>
  </si>
  <si>
    <t>Manual/SKU definitivo del Raspberry PLC 19R</t>
  </si>
  <si>
    <t>Separar alimentación de control y potencia; protección y tierra según diseño eléctrico.</t>
  </si>
  <si>
    <t>HW-012</t>
  </si>
  <si>
    <t>UPS / respaldo</t>
  </si>
  <si>
    <t>Modelo, autonomía y señal de apagado del respaldo</t>
  </si>
  <si>
    <t>Cierre ordenado ante cortes</t>
  </si>
  <si>
    <t>UPS DIN 24 VDC, autonomía objetivo ≥10 min y señal de pérdida de red al PLC</t>
  </si>
  <si>
    <t>Modelo / minutos</t>
  </si>
  <si>
    <t>Diseño de referencia del proveedor tecnológico</t>
  </si>
  <si>
    <t>Permite persistir estado y apagado ordenado; seleccionar tras medir consumo real.</t>
  </si>
  <si>
    <t>HW-013</t>
  </si>
  <si>
    <t>Consumo</t>
  </si>
  <si>
    <t>Consumo estimado conjunto en régimen y peak</t>
  </si>
  <si>
    <t>Dimensionar fuente y UPS</t>
  </si>
  <si>
    <t>Presupuestar 15 W para Pi 4B + margen de PLC/periféricos; medir conjunto antes de dimensionar UPS</t>
  </si>
  <si>
    <t>W</t>
  </si>
  <si>
    <t>No</t>
  </si>
  <si>
    <t>La Raspberry Pi 4B requiere 5 V/3 A; el consumo final del conjunto debe medirse.</t>
  </si>
  <si>
    <t>SEN-001</t>
  </si>
  <si>
    <t>Sensores</t>
  </si>
  <si>
    <t>PIUSI OCIO</t>
  </si>
  <si>
    <t>Modelo y variante exacta</t>
  </si>
  <si>
    <t>Conversión y calibración correctas</t>
  </si>
  <si>
    <t>PIUSI OCIO LV, código F00755160, versión 230 V 50/60 Hz con salida 4–20 mA</t>
  </si>
  <si>
    <t>https://www.piusi.com/es/productos/ocio</t>
  </si>
  <si>
    <t>Modelo exacto informado por el usuario y coincidente con catálogo PIUSI.</t>
  </si>
  <si>
    <t>SEN-002</t>
  </si>
  <si>
    <t>Tipo y rango de salida eléctrica</t>
  </si>
  <si>
    <t>Seleccionar entrada/conversor</t>
  </si>
  <si>
    <t>Salida analógica 4–20 mA</t>
  </si>
  <si>
    <t>mA</t>
  </si>
  <si>
    <t>Usar lazo aislado y supervisar valores fuera de rango para detectar circuito abierto/falla.</t>
  </si>
  <si>
    <t>SEN-003</t>
  </si>
  <si>
    <t>Rango de medición y precisión</t>
  </si>
  <si>
    <t>Calidad de nivel y alertas</t>
  </si>
  <si>
    <t>Altura máxima medible 4 m; tubo de sonda incluido de 10 m; resolución de nivel publicada: 10 mm</t>
  </si>
  <si>
    <t>mm/m / precisión</t>
  </si>
  <si>
    <t>La precisión de volumen depende de la curva empírica del estanque, no sólo del sensor.</t>
  </si>
  <si>
    <t>SEN-004</t>
  </si>
  <si>
    <t>Alimentación requerida</t>
  </si>
  <si>
    <t>Diseño de fuente y aislamiento</t>
  </si>
  <si>
    <t>230 VAC, 50/60 Hz; consumo nominal publicado 20 W</t>
  </si>
  <si>
    <t>VDC / mA</t>
  </si>
  <si>
    <t>Alimentación protegida; mantener separación física respecto del circuito SELV/PLC.</t>
  </si>
  <si>
    <t>SEN-005</t>
  </si>
  <si>
    <t>Conversor/aislador seleccionado hacia PLC</t>
  </si>
  <si>
    <t>Protección y compatibilidad eléctrica</t>
  </si>
  <si>
    <t>Aislador galvánico 4–20 mA/4–20 mA o 4–20 mA/salida compatible con el 19R; 24 VDC DIN; precisión ≤0.1%</t>
  </si>
  <si>
    <t>https://www.piusi.com/es/productos/ocio | Manual/SKU definitivo del Raspberry PLC 19R</t>
  </si>
  <si>
    <t>Seleccionar el modelo final después de confirmar rango e impedancia de la entrada analógica del 19R.</t>
  </si>
  <si>
    <t>SEN-006</t>
  </si>
  <si>
    <t>Frecuencia de muestreo requerida</t>
  </si>
  <si>
    <t>Filtrado y almacenamiento</t>
  </si>
  <si>
    <t>Muestreo OCIO cada 10 s; mediana de 5 y promedio móvil para visualización; conservar muestra validada cada 60 s</t>
  </si>
  <si>
    <t>segundos</t>
  </si>
  <si>
    <t>Especificación funcional + decisión de diseño</t>
  </si>
  <si>
    <t>Durante carga/reposición, etiquetar transición para no disparar falsa fuga.</t>
  </si>
  <si>
    <t>SEN-007</t>
  </si>
  <si>
    <t>PIUSI K24 Pulser</t>
  </si>
  <si>
    <t>Modelo y versión exacta</t>
  </si>
  <si>
    <t>Interpretar pulsos correctamente</t>
  </si>
  <si>
    <t>PIUSI K24 Pulser, código F0040722A, M/MF para litros, conexión 1 in BSP</t>
  </si>
  <si>
    <t>https://www.piusi.com/es/productos/k24</t>
  </si>
  <si>
    <t>SEN-008</t>
  </si>
  <si>
    <t>Tipo, tensión y forma de salida</t>
  </si>
  <si>
    <t>Diseñar interfaz eléctrica</t>
  </si>
  <si>
    <t>Salida de pulsos por interruptor Reed monocanal, contacto pasivo de dos hilos</t>
  </si>
  <si>
    <t>Tipo / V</t>
  </si>
  <si>
    <t>Entrada con pull-up a tensión segura, protección, filtro/debounce y cable apantallado; no aplicar tensión sin revisar límites del manual.</t>
  </si>
  <si>
    <t>SEN-009</t>
  </si>
  <si>
    <t>Factor K nominal</t>
  </si>
  <si>
    <t>Conversión pulsos-litros</t>
  </si>
  <si>
    <t>Nominal publicado: 100 pulsos/L (0.01 L/pulso); parámetro configurable y calibración volumétrica obligatoria</t>
  </si>
  <si>
    <t>pulsos/L</t>
  </si>
  <si>
    <t>https://www.bellflowsystems.co.uk/files/attachments/2369/PIUSI_K24_TURBINE_DIGITAL_METER.pdf</t>
  </si>
  <si>
    <t>Guardar factor K nominal, factor calibrado, fecha, patrón volumétrico y versión. No fijarlo en código.</t>
  </si>
  <si>
    <t>SEN-010</t>
  </si>
  <si>
    <t>Caudal mínimo, máximo y precisión</t>
  </si>
  <si>
    <t>Detectar rangos y anomalías</t>
  </si>
  <si>
    <t>Caudal 7–120 L/min; precisión ±1%; repetibilidad 0.2%; presión de trabajo publicada 10 bar para F0040722A</t>
  </si>
  <si>
    <t>L/min / %</t>
  </si>
  <si>
    <t>https://www.piusi.com/es/productos/k24 | https://www.bellflowsystems.co.uk/files/attachments/2369/PIUSI_K24_TURBINE_DIGITAL_METER.pdf</t>
  </si>
  <si>
    <t>Verificar que el caudal real de la bomba permanezca dentro del rango durante la prueba de aceptación.</t>
  </si>
  <si>
    <t>SEN-011</t>
  </si>
  <si>
    <t>Estanque</t>
  </si>
  <si>
    <t>Capacidad nominal</t>
  </si>
  <si>
    <t>Curva nivel-volumen</t>
  </si>
  <si>
    <t>2500</t>
  </si>
  <si>
    <t>L</t>
  </si>
  <si>
    <t>Concha y Toro</t>
  </si>
  <si>
    <t>Ficha / inspección</t>
  </si>
  <si>
    <t>Valor conocido en especificación</t>
  </si>
  <si>
    <t>SEN-012</t>
  </si>
  <si>
    <t>Geometría, dimensiones y orientación</t>
  </si>
  <si>
    <t>Construir curva empírica inicial</t>
  </si>
  <si>
    <t>Dimensiones / croquis</t>
  </si>
  <si>
    <t>Pendiente</t>
  </si>
  <si>
    <t>Croquis / fotos</t>
  </si>
  <si>
    <t>SEN-013</t>
  </si>
  <si>
    <t>Altura OCIO correspondiente a 100%</t>
  </si>
  <si>
    <t>Calibración de volumen</t>
  </si>
  <si>
    <t>mm</t>
  </si>
  <si>
    <t>Medición en terreno</t>
  </si>
  <si>
    <t>ELE-001</t>
  </si>
  <si>
    <t>Eléctrico</t>
  </si>
  <si>
    <t>Bomba</t>
  </si>
  <si>
    <t>Marca, modelo y potencia eléctrica</t>
  </si>
  <si>
    <t>Dimensionar mando y protecciones</t>
  </si>
  <si>
    <t>Modelo / kW</t>
  </si>
  <si>
    <t>Placa / foto</t>
  </si>
  <si>
    <t>ELE-002</t>
  </si>
  <si>
    <t>Tensión y fases de alimentación</t>
  </si>
  <si>
    <t>V / fases / Hz</t>
  </si>
  <si>
    <t>Placa / medición</t>
  </si>
  <si>
    <t>ELE-003</t>
  </si>
  <si>
    <t>Contactor</t>
  </si>
  <si>
    <t>Tensión de bobina del contactor existente/propuesto</t>
  </si>
  <si>
    <t>Compatibilidad con salida de control</t>
  </si>
  <si>
    <t>Plano / placa</t>
  </si>
  <si>
    <t>ELE-004</t>
  </si>
  <si>
    <t>Corriente y categoría de empleo</t>
  </si>
  <si>
    <t>Dimensionamiento seguro</t>
  </si>
  <si>
    <t>A / categoría</t>
  </si>
  <si>
    <t>Ficha técnica</t>
  </si>
  <si>
    <t>ELE-005</t>
  </si>
  <si>
    <t>Relé intermedio</t>
  </si>
  <si>
    <t>Modelo, bobina, contactos y aislamiento</t>
  </si>
  <si>
    <t>Separación entre PLC y potencia</t>
  </si>
  <si>
    <t>Modelo / V / A</t>
  </si>
  <si>
    <t>Ficha / plano</t>
  </si>
  <si>
    <t>ELE-006</t>
  </si>
  <si>
    <t>Parada de emergencia</t>
  </si>
  <si>
    <t>Tipo, contactos y ubicación</t>
  </si>
  <si>
    <t>Debe prevalecer sobre software</t>
  </si>
  <si>
    <t>Descripción</t>
  </si>
  <si>
    <t>Plano / inspección</t>
  </si>
  <si>
    <t>ELE-007</t>
  </si>
  <si>
    <t>Protecciones</t>
  </si>
  <si>
    <t>Protecciones existentes y curvas</t>
  </si>
  <si>
    <t>Coordinación y seguridad</t>
  </si>
  <si>
    <t>Plano / fotos</t>
  </si>
  <si>
    <t>ELE-008</t>
  </si>
  <si>
    <t>Bypass físico</t>
  </si>
  <si>
    <t>Diseño, llave, señalización y condiciones de uso</t>
  </si>
  <si>
    <t>Contingencia independiente del software</t>
  </si>
  <si>
    <t>Descripción / plano</t>
  </si>
  <si>
    <t>Plano aprobado</t>
  </si>
  <si>
    <t>No debe ser un puente improvisado</t>
  </si>
  <si>
    <t>ELE-009</t>
  </si>
  <si>
    <t>Gabinete</t>
  </si>
  <si>
    <t>Grado IP, dimensiones, ventilación y temperatura</t>
  </si>
  <si>
    <t>Protección ambiental</t>
  </si>
  <si>
    <t>IP / mm / °C</t>
  </si>
  <si>
    <t>ELE-010</t>
  </si>
  <si>
    <t>Puesta a tierra</t>
  </si>
  <si>
    <t>Disponibilidad y medición de tierra</t>
  </si>
  <si>
    <t>Seguridad y ruido eléctrico</t>
  </si>
  <si>
    <t>Ohm / descripción</t>
  </si>
  <si>
    <t>Protocolo de medición</t>
  </si>
  <si>
    <t>NFC-001</t>
  </si>
  <si>
    <t>Identidad NFC</t>
  </si>
  <si>
    <t>Lector NFC</t>
  </si>
  <si>
    <t>Marca, modelo e interfaz del lector</t>
  </si>
  <si>
    <t>Firmware y seguridad</t>
  </si>
  <si>
    <t>Módulo RFID-RC522 / MFRC522, 13.56 MHz, SPI a 3.3 V; sólo para prototipo</t>
  </si>
  <si>
    <t>Modelo / USB/UART/SPI</t>
  </si>
  <si>
    <t>https://www.nxp.com/products/rfid-nfc/nfc-hf/nfc-readers/standard-performance-mifare-and-ntag-frontend%3AMFRC52202HN1</t>
  </si>
  <si>
    <t>No conectar a 5 V. NXP lo declara EOL/no recomendado para diseños nuevos.</t>
  </si>
  <si>
    <t>NFC-002</t>
  </si>
  <si>
    <t>Credencial</t>
  </si>
  <si>
    <t>Tecnología/tipo de tarjeta seleccionado</t>
  </si>
  <si>
    <t>Evitar autenticación sólo por UID</t>
  </si>
  <si>
    <t>BLOQUEADO: RC522 + MIFARE Classic/UID no satisface autenticación criptográfica moderna. Producción: migrar a CLRC663 plus y MIFARE DESFire EV3 o equivalente</t>
  </si>
  <si>
    <t>Tipo / estándar</t>
  </si>
  <si>
    <t>Bloqueado</t>
  </si>
  <si>
    <t>Decisión de seguridad obligatoria antes de congelar hardware de producción.</t>
  </si>
  <si>
    <t>NFC-003</t>
  </si>
  <si>
    <t>Capacidad y esquema de claves</t>
  </si>
  <si>
    <t>Diseño de enrolamiento y rotación</t>
  </si>
  <si>
    <t>Claves AES únicas por credencial, diversificación por UID, almacenamiento fuera del código y rotación/revocación auditada</t>
  </si>
  <si>
    <t>Diseño de seguridad pendiente de lector/credencial de producción</t>
  </si>
  <si>
    <t>No usar UID ni claves MIFARE Classic por defecto como autenticador.</t>
  </si>
  <si>
    <t>NFC-004</t>
  </si>
  <si>
    <t>Operación</t>
  </si>
  <si>
    <t>Distancia y tiempo objetivo de lectura</t>
  </si>
  <si>
    <t>Experiencia de uso</t>
  </si>
  <si>
    <t>Objetivo: lectura estable a 0–3 cm y confirmación &lt;500 ms en montaje definitivo</t>
  </si>
  <si>
    <t>cm / ms</t>
  </si>
  <si>
    <t>Validar con antena, gabinete y tarjeta reales; distancia deliberadamente corta.</t>
  </si>
  <si>
    <t>NFC-005</t>
  </si>
  <si>
    <t>Credencial maestra</t>
  </si>
  <si>
    <t>Custodio y procedimiento de reemplazo</t>
  </si>
  <si>
    <t>Control de carga excepcional</t>
  </si>
  <si>
    <t>Encargado agrícola; una sola credencial maestra activa; reemplazo revoca automáticamente la anterior</t>
  </si>
  <si>
    <t>Rol / procedimiento</t>
  </si>
  <si>
    <t>Especificación funcional, reglas de identidad</t>
  </si>
  <si>
    <t>Custodia física y evento auditado obligatorios.</t>
  </si>
  <si>
    <t>BLE-001</t>
  </si>
  <si>
    <t>Módulos ESP32</t>
  </si>
  <si>
    <t>Placa ESP32</t>
  </si>
  <si>
    <t>Modelo exacto, memoria y revisión</t>
  </si>
  <si>
    <t>Firmware, consumo y OTA</t>
  </si>
  <si>
    <t>Seeed Studio XIAO ESP32C3; ESP32-C3 RISC-V 160 MHz, 400 KB SRAM, 4 MB flash, Wi-Fi 2.4 GHz y BLE 5</t>
  </si>
  <si>
    <t>Modelo / versión</t>
  </si>
  <si>
    <t>https://wiki.seeedstudio.com/XIAO_ESP32C3_Getting_Started/</t>
  </si>
  <si>
    <t>Equipo de tractor definido por el usuario; usar antena externa incluida.</t>
  </si>
  <si>
    <t>BLE-002</t>
  </si>
  <si>
    <t>Batería</t>
  </si>
  <si>
    <t>Química, capacidad y tensión</t>
  </si>
  <si>
    <t>Autonomía y seguridad</t>
  </si>
  <si>
    <t>Tipo / mAh / V</t>
  </si>
  <si>
    <t>XIAO admite BAT 3.7 V y carga 380 mA; capacidad final depende de autonomía y temperatura.</t>
  </si>
  <si>
    <t>BLE-003</t>
  </si>
  <si>
    <t>Autonomía</t>
  </si>
  <si>
    <t>Autonomía mínima objetivo</t>
  </si>
  <si>
    <t>Definir ciclo de sueño/anuncio</t>
  </si>
  <si>
    <t>meses</t>
  </si>
  <si>
    <t>No prometer autonomía hasta medir placa, regulador, batería, temperatura y ciclo BLE.</t>
  </si>
  <si>
    <t>BLE-004</t>
  </si>
  <si>
    <t>Carga</t>
  </si>
  <si>
    <t>Método, conector y tiempo de recarga</t>
  </si>
  <si>
    <t>Mantenimiento en terreno</t>
  </si>
  <si>
    <t>USB-C de la XIAO; carga integrada desde USB, 380 mA rápida / 40 mA trickle</t>
  </si>
  <si>
    <t>Método / horas</t>
  </si>
  <si>
    <t>Agregar conector accesible y protección mecánica en gabinete.</t>
  </si>
  <si>
    <t>BLE-005</t>
  </si>
  <si>
    <t>IP, montaje y exposición ambiental</t>
  </si>
  <si>
    <t>Durabilidad en maquinaria</t>
  </si>
  <si>
    <t>Gabinete mínimo IP65, resistente a UV/vibración; montaje no metálico en zona de antena</t>
  </si>
  <si>
    <t>IP / descripción</t>
  </si>
  <si>
    <t>Requisito de diseño de campo</t>
  </si>
  <si>
    <t>La antena externa debe quedar alejada de metal, arnés de potencia y fuentes EMI.</t>
  </si>
  <si>
    <t>BLE-006</t>
  </si>
  <si>
    <t>BLE</t>
  </si>
  <si>
    <t>Intervalo de advertising en reposo</t>
  </si>
  <si>
    <t>Consumo versus detección</t>
  </si>
  <si>
    <t>ms/s</t>
  </si>
  <si>
    <t>Compromiso inicial entre detección &lt;10 s y autonomía; parametrizable por OTA.</t>
  </si>
  <si>
    <t>BLE-007</t>
  </si>
  <si>
    <t>Umbral RSSI inicial por punto</t>
  </si>
  <si>
    <t>Selección del equipo cercano</t>
  </si>
  <si>
    <t>Sin valor fijo global: calibración por punto; aceptar sólo el RSSI filtrado más fuerte sobre umbral con margen ≥6 dB al segundo candidato</t>
  </si>
  <si>
    <t>dBm</t>
  </si>
  <si>
    <t>Especificación funcional, calibración BLE</t>
  </si>
  <si>
    <t>Registrar distribución RSSI real en carga y fuera de zona.</t>
  </si>
  <si>
    <t>BLE-008</t>
  </si>
  <si>
    <t>Número de muestras y filtro RSSI</t>
  </si>
  <si>
    <t>Robustez frente a variabilidad</t>
  </si>
  <si>
    <t>10 muestras; descartar extremos, mediana + EWMA; histéresis 3 dB; pérdida sólo tras 20 s continuos</t>
  </si>
  <si>
    <t>N / algoritmo</t>
  </si>
  <si>
    <t>Decisión de diseño basada en especificación</t>
  </si>
  <si>
    <t>Parámetros configurables y versionados.</t>
  </si>
  <si>
    <t>BLE-009</t>
  </si>
  <si>
    <t>Seguridad</t>
  </si>
  <si>
    <t>Mecanismo de desafío-respuesta y algoritmo</t>
  </si>
  <si>
    <t>Autenticidad del módulo</t>
  </si>
  <si>
    <t>HMAC-SHA-256 con clave única de 256 bits por módulo, nonce aleatorio de 128 bits, contador monotónico y protección anti-replay</t>
  </si>
  <si>
    <t>Algoritmo / tamaño clave</t>
  </si>
  <si>
    <t>Diseño de seguridad del proveedor</t>
  </si>
  <si>
    <t>Usar aceleración criptográfica del ESP32-C3; no transmitir la clave.</t>
  </si>
  <si>
    <t>BLE-010</t>
  </si>
  <si>
    <t>Provisionamiento</t>
  </si>
  <si>
    <t>Método de inyección y custodia de identidad/clave</t>
  </si>
  <si>
    <t>Seguridad de fabricación</t>
  </si>
  <si>
    <t>Provisionamiento offline por estación del proveedor; identidad UUID + clave única; NVS cifrada, Secure Boot y Flash Encryption en producción</t>
  </si>
  <si>
    <t>Procedimiento</t>
  </si>
  <si>
    <t>Separar credenciales de desarrollo y producción; guardar registro de alta/revocación.</t>
  </si>
  <si>
    <t>NET-001</t>
  </si>
  <si>
    <t>Red y VPN</t>
  </si>
  <si>
    <t>Wi-Fi fundo</t>
  </si>
  <si>
    <t>SSID técnico o red destinada al piloto</t>
  </si>
  <si>
    <t>Conectividad local</t>
  </si>
  <si>
    <t>Identificador</t>
  </si>
  <si>
    <t>Matriz de red</t>
  </si>
  <si>
    <t>No registrar la contraseña en este libro</t>
  </si>
  <si>
    <t>NET-002</t>
  </si>
  <si>
    <t>Cobertura y RSSI en el punto de abastecimiento</t>
  </si>
  <si>
    <t>Confiabilidad validador-Raspberry</t>
  </si>
  <si>
    <t>Site survey</t>
  </si>
  <si>
    <t>NET-003</t>
  </si>
  <si>
    <t>Banda, canalización y estándar permitido</t>
  </si>
  <si>
    <t>Compatibilidad ESP32</t>
  </si>
  <si>
    <t>Wi-Fi 2.4 GHz 802.11 b/g/n para ESP32; canal fijo 1/6/11 tras site survey</t>
  </si>
  <si>
    <t>2.4/5 GHz / estándar</t>
  </si>
  <si>
    <t>https://docs.arduino.cc/resources/datasheets/ABX00083-datasheet.pdf | https://wiki.seeedstudio.com/XIAO_ESP32C3_Getting_Started/</t>
  </si>
  <si>
    <t>La Pi puede usar Ethernet como enlace principal; evitar depender de 5 GHz.</t>
  </si>
  <si>
    <t>NET-004</t>
  </si>
  <si>
    <t>Direccionamiento</t>
  </si>
  <si>
    <t>DHCP, reservas o IP fija para componentes</t>
  </si>
  <si>
    <t>Descubrimiento y soporte</t>
  </si>
  <si>
    <t>DHCP con reservas por MAC para Raspberry y validador; nombres DNS locales estables</t>
  </si>
  <si>
    <t>Decisión de arquitectura</t>
  </si>
  <si>
    <t>Evitar IP fija embebida en firmware.</t>
  </si>
  <si>
    <t>NET-005</t>
  </si>
  <si>
    <t>Firewall</t>
  </si>
  <si>
    <t>Puertos y destinos de salida permitidos</t>
  </si>
  <si>
    <t>MQTT, backups, OTA y monitoreo</t>
  </si>
  <si>
    <t>Salida mínima: DNS 53, NTP 123, HTTPS 443; VPN según tecnología; MQTT sólo dentro de LAN/VPN</t>
  </si>
  <si>
    <t>Matriz de firewall propuesta</t>
  </si>
  <si>
    <t>Confirmar con TI corporativa; no exponer MQTT a Internet.</t>
  </si>
  <si>
    <t>NET-006</t>
  </si>
  <si>
    <t>Internet</t>
  </si>
  <si>
    <t>Disponibilidad y ancho de banda en el punto</t>
  </si>
  <si>
    <t>Sincronización y soporte</t>
  </si>
  <si>
    <t>Operación local offline; enlace recomendado ≥5 Mbps y disponibilidad best-effort para backup/OTA</t>
  </si>
  <si>
    <t>Mbps / disponibilidad</t>
  </si>
  <si>
    <t>Especificación funcional</t>
  </si>
  <si>
    <t>La pérdida de Internet no bloquea cargas.</t>
  </si>
  <si>
    <t>NET-007</t>
  </si>
  <si>
    <t>VPN</t>
  </si>
  <si>
    <t>Tecnología, concentrador y mecanismo de acceso</t>
  </si>
  <si>
    <t>Acceso remoto autorizado</t>
  </si>
  <si>
    <t>Producto / protocolo</t>
  </si>
  <si>
    <t>Arquitectura corporativa</t>
  </si>
  <si>
    <t>NET-008</t>
  </si>
  <si>
    <t>DNS / NTP</t>
  </si>
  <si>
    <t>Servidores autorizados</t>
  </si>
  <si>
    <t>Resolución y hora confiable</t>
  </si>
  <si>
    <t>NTP corporativo primario + segundo servidor autorizado; DNS corporativo; RTC/estado de hora verificado al inicio</t>
  </si>
  <si>
    <t>Hosts/IP</t>
  </si>
  <si>
    <t>Matriz de red corporativa pendiente</t>
  </si>
  <si>
    <t>No aceptar transacciones con hora no confiable sin marcarlas.</t>
  </si>
  <si>
    <t>NET-009</t>
  </si>
  <si>
    <t>MQTT</t>
  </si>
  <si>
    <t>Broker, versión y puerto local</t>
  </si>
  <si>
    <t>Contrato de mensajería</t>
  </si>
  <si>
    <t>Eclipse Mosquitto local en Raspberry, MQTT 5.0, puerto 8883/TLS; ACL por dispositivo y tópicos versionados</t>
  </si>
  <si>
    <t>Host / versión / puerto</t>
  </si>
  <si>
    <t>Persistencia local y sesiones con QoS 1 para eventos; telemetría periódica QoS 0/1 según criticidad.</t>
  </si>
  <si>
    <t>NET-010</t>
  </si>
  <si>
    <t>TLS</t>
  </si>
  <si>
    <t>CA, emisión y rotación de certificados</t>
  </si>
  <si>
    <t>Identidad individual por dispositivo</t>
  </si>
  <si>
    <t>TLS 1.3 preferido / 1.2 mínimo; CA privada; certificado único por dispositivo; rotación anual y revocación</t>
  </si>
  <si>
    <t>Diseño de seguridad</t>
  </si>
  <si>
    <t>No compartir credenciales entre validador y módulos.</t>
  </si>
  <si>
    <t>SW-001</t>
  </si>
  <si>
    <t>Plataforma</t>
  </si>
  <si>
    <t>Sistema operativo</t>
  </si>
  <si>
    <t>Distribución y versión objetivo</t>
  </si>
  <si>
    <t>Compatibilidad, soporte y hardening</t>
  </si>
  <si>
    <t>Candidato preferido: Ubuntu Server 22.04 LTS ARM64 minimal, sin entorno gráfico; alternativa: Debian 12 ARM64</t>
  </si>
  <si>
    <t>Distribución / versión</t>
  </si>
  <si>
    <t>Captura aportada por el usuario: codex-clipboard-6b3c2b80-cb35-49a3-abce-3a4ce65df4ff.png</t>
  </si>
  <si>
    <t>Ambas familias figuran como soportadas en ARM64. Validar imagen, kernel y librerías del Raspberry PLC antes de congelar.</t>
  </si>
  <si>
    <t>SW-002</t>
  </si>
  <si>
    <t>Arquitectura CPU</t>
  </si>
  <si>
    <t>Arquitectura admitida por controles corporativos</t>
  </si>
  <si>
    <t>Compatibilidad de agente y paquetes</t>
  </si>
  <si>
    <t>ARM64 / aarch64</t>
  </si>
  <si>
    <t>arm64/armhf</t>
  </si>
  <si>
    <t>Arquitectura del BCM2711 y sistema operativo de 64 bits.</t>
  </si>
  <si>
    <t>SW-003</t>
  </si>
  <si>
    <t>CrowdStrike</t>
  </si>
  <si>
    <t>Sensor/versión compatible y requisitos</t>
  </si>
  <si>
    <t>Cerrar factibilidad corporativa</t>
  </si>
  <si>
    <t>CrowdStrike Falcon contempla ARM64 en Ubuntu, Debian, RHEL, Oracle Linux, SLES y Amazon Linux; seleccionar sensor compatible con Ubuntu 22.04 ARM64 y kernel de la imagen</t>
  </si>
  <si>
    <t>Versión / requisitos</t>
  </si>
  <si>
    <t>La arquitectura deja de ser bloqueo. Falta confirmar versión exacta del sensor, kernel soportado y procedimiento de instalación/licenciamiento.</t>
  </si>
  <si>
    <t>SW-004</t>
  </si>
  <si>
    <t>Contenedores</t>
  </si>
  <si>
    <t>Uso permitido de Docker/Podman o servicios nativos</t>
  </si>
  <si>
    <t>Diseño de despliegue</t>
  </si>
  <si>
    <t>Servicios nativos systemd; sin Docker en el piloto de 2 GB salvo exigencia corporativa</t>
  </si>
  <si>
    <t>Sí/No / estándar</t>
  </si>
  <si>
    <t>Reduce memoria, superficie y complejidad operacional.</t>
  </si>
  <si>
    <t>SW-005</t>
  </si>
  <si>
    <t>SQLite</t>
  </si>
  <si>
    <t>Versión y estrategia de journaling</t>
  </si>
  <si>
    <t>Integridad ante cortes</t>
  </si>
  <si>
    <t>SQLite 3 en modo WAL; foreign_keys=ON, synchronous=FULL, busy_timeout=5000; transacciones ACID y checkpoint controlado</t>
  </si>
  <si>
    <t>Versión / WAL</t>
  </si>
  <si>
    <t>Diseño de persistencia</t>
  </si>
  <si>
    <t>Base en partición de datos; no almacenar pulsos individuales.</t>
  </si>
  <si>
    <t>SW-006</t>
  </si>
  <si>
    <t>Retención</t>
  </si>
  <si>
    <t>Retención local requerida</t>
  </si>
  <si>
    <t>Capacidad y depuración</t>
  </si>
  <si>
    <t>años</t>
  </si>
  <si>
    <t>Depurar sólo después de verificar respaldo externo restaurable.</t>
  </si>
  <si>
    <t>SW-007</t>
  </si>
  <si>
    <t>Usuarios</t>
  </si>
  <si>
    <t>Integración con identidad corporativa o cuentas locales</t>
  </si>
  <si>
    <t>Autenticación del dashboard</t>
  </si>
  <si>
    <t>Método</t>
  </si>
  <si>
    <t>Evaluar SSO corporativo sólo si está disponible offline o sin afectar operación local.</t>
  </si>
  <si>
    <t>SW-008</t>
  </si>
  <si>
    <t>Navegadores</t>
  </si>
  <si>
    <t>Navegadores y versiones soportadas</t>
  </si>
  <si>
    <t>Compatibilidad dashboard</t>
  </si>
  <si>
    <t>Chrome/Edge versiones corporativas vigentes; diseño responsivo móvil; Safari iOS para enrolamiento en terreno</t>
  </si>
  <si>
    <t>Estándar TI de Concha y Toro pendiente</t>
  </si>
  <si>
    <t>Validar matriz real de dispositivos del fundo.</t>
  </si>
  <si>
    <t>CLD-001</t>
  </si>
  <si>
    <t>Nube y soporte</t>
  </si>
  <si>
    <t>Zona externa</t>
  </si>
  <si>
    <t>Proveedor, región y servicio de almacenamiento</t>
  </si>
  <si>
    <t>Backups y artefactos OTA</t>
  </si>
  <si>
    <t>Proveedor / región</t>
  </si>
  <si>
    <t>Arquitectura</t>
  </si>
  <si>
    <t>CLD-002</t>
  </si>
  <si>
    <t>Backups</t>
  </si>
  <si>
    <t>Frecuencia del snapshot completo</t>
  </si>
  <si>
    <t>Recuperabilidad</t>
  </si>
  <si>
    <t>Snapshot completo semanal + sincronización incremental cifrada diaria cuando haya conectividad</t>
  </si>
  <si>
    <t>Frecuencia</t>
  </si>
  <si>
    <t>Especificación funcional + mejor práctica</t>
  </si>
  <si>
    <t>La cola local persiste durante caída de Internet/VPN.</t>
  </si>
  <si>
    <t>CLD-003</t>
  </si>
  <si>
    <t>Cifrado, retención y control de acceso</t>
  </si>
  <si>
    <t>Seguridad de respaldos</t>
  </si>
  <si>
    <t>Cifrado AES-256 del repositorio, TLS en tránsito, retención 13 snapshots semanales + 12 mensuales; acceso mínimo</t>
  </si>
  <si>
    <t>Política propuesta del proveedor</t>
  </si>
  <si>
    <t>Alinear con retención corporativa y ubicación de datos.</t>
  </si>
  <si>
    <t>CLD-004</t>
  </si>
  <si>
    <t>Objetivos RPO y RTO</t>
  </si>
  <si>
    <t>Diseñar recuperación</t>
  </si>
  <si>
    <t>RPO objetivo 24 h; RTO objetivo 8 h para reconstrucción del nodo</t>
  </si>
  <si>
    <t>Horas</t>
  </si>
  <si>
    <t>Propuesta de continuidad</t>
  </si>
  <si>
    <t>Requiere aprobación de Concha y Toro y prueba de restauración.</t>
  </si>
  <si>
    <t>CLD-005</t>
  </si>
  <si>
    <t>Heartbeat</t>
  </si>
  <si>
    <t>Frecuencia y umbral de alerta</t>
  </si>
  <si>
    <t>Supervisión de disponibilidad</t>
  </si>
  <si>
    <t>Heartbeat cada 5 min; alerta después de 30 min sin señal</t>
  </si>
  <si>
    <t>min envío / min alerta</t>
  </si>
  <si>
    <t>Aplicar deduplicación y aviso de recuperación.</t>
  </si>
  <si>
    <t>CLD-006</t>
  </si>
  <si>
    <t>OTA</t>
  </si>
  <si>
    <t>Repositorio, firma y custodia de claves</t>
  </si>
  <si>
    <t>Actualizaciones verificables</t>
  </si>
  <si>
    <t>Artefactos versionados y firmados Ed25519; manifiesto con SHA-256; clave privada offline/HSM; rollback A/B</t>
  </si>
  <si>
    <t>OTA sólo con carga inactiva y verificación previa/posterior.</t>
  </si>
  <si>
    <t>CLD-007</t>
  </si>
  <si>
    <t>Ventana de mantenimiento y aprobación</t>
  </si>
  <si>
    <t>Evitar impacto operacional</t>
  </si>
  <si>
    <t>Horario / flujo</t>
  </si>
  <si>
    <t>La ventana y aprobación operacional siguen pendientes.</t>
  </si>
  <si>
    <t>CLD-008</t>
  </si>
  <si>
    <t>Alertas</t>
  </si>
  <si>
    <t>Canal técnico de entrega</t>
  </si>
  <si>
    <t>Implementar notificaciones</t>
  </si>
  <si>
    <t>Correo mediante servicio transaccional/API HTTPS; cola local, reintentos exponenciales y deduplicación por evento</t>
  </si>
  <si>
    <t>Email/API/otro</t>
  </si>
  <si>
    <t>Destinos configurables sólo por proveedor.</t>
  </si>
  <si>
    <t>OPS-001</t>
  </si>
  <si>
    <t>Fundo piloto</t>
  </si>
  <si>
    <t>Nombre y ubicación del fundo</t>
  </si>
  <si>
    <t>Configuración inicial</t>
  </si>
  <si>
    <t>Texto / coordenadas</t>
  </si>
  <si>
    <t>Dato maestro</t>
  </si>
  <si>
    <t>OPS-002</t>
  </si>
  <si>
    <t>Punto de abastecimiento</t>
  </si>
  <si>
    <t>Identificador, ubicación y horario operativo</t>
  </si>
  <si>
    <t>Configuración y pruebas</t>
  </si>
  <si>
    <t>Texto</t>
  </si>
  <si>
    <t>Piloto considera un punto</t>
  </si>
  <si>
    <t>OPS-003</t>
  </si>
  <si>
    <t>Equipos</t>
  </si>
  <si>
    <t>Cantidad y listado inicial de equipos abastecibles</t>
  </si>
  <si>
    <t>Provisionamiento BLE</t>
  </si>
  <si>
    <t>Cantidad / listado</t>
  </si>
  <si>
    <t>Inventario</t>
  </si>
  <si>
    <t>OPS-004</t>
  </si>
  <si>
    <t>Operadores</t>
  </si>
  <si>
    <t>Cantidad estimada de operadores y encargados</t>
  </si>
  <si>
    <t>Dimensionar enrolamiento</t>
  </si>
  <si>
    <t>Cantidad</t>
  </si>
  <si>
    <t>OPS-005</t>
  </si>
  <si>
    <t>Inicio de carga</t>
  </si>
  <si>
    <t>Ventana máxima después de validar</t>
  </si>
  <si>
    <t>Máquina de estados</t>
  </si>
  <si>
    <t>Configurable y auditado.</t>
  </si>
  <si>
    <t>OPS-006</t>
  </si>
  <si>
    <t>Fin por inactividad</t>
  </si>
  <si>
    <t>Tiempo sin pulsos K24</t>
  </si>
  <si>
    <t>Cierre de sesión</t>
  </si>
  <si>
    <t>OPS-007</t>
  </si>
  <si>
    <t>Pérdida BLE</t>
  </si>
  <si>
    <t>Tiempo continuo antes de cortar</t>
  </si>
  <si>
    <t>Seguridad de presencia</t>
  </si>
  <si>
    <t>OPS-008</t>
  </si>
  <si>
    <t>Retiro NFC</t>
  </si>
  <si>
    <t>Margen de filtrado permitido</t>
  </si>
  <si>
    <t>Cierre seguro sin falsos cortes</t>
  </si>
  <si>
    <t>300 ms de debounce inicial; corte inmediato después de confirmar retiro</t>
  </si>
  <si>
    <t>milisegundos</t>
  </si>
  <si>
    <t>Decisión de diseño</t>
  </si>
  <si>
    <t>Validar con lector y montaje reales; no ampliar sin prueba.</t>
  </si>
  <si>
    <t>OPS-009</t>
  </si>
  <si>
    <t>Dashboard</t>
  </si>
  <si>
    <t>Frecuencia objetivo de actualización</t>
  </si>
  <si>
    <t>Experiencia y carga de sistema</t>
  </si>
  <si>
    <t>Dashboard observacional, sin mandos de bomba.</t>
  </si>
  <si>
    <t>OPS-010</t>
  </si>
  <si>
    <t>Alertas de nivel</t>
  </si>
  <si>
    <t>Umbrales de advertencia/críticos</t>
  </si>
  <si>
    <t>20 / 10 / 5</t>
  </si>
  <si>
    <t>%</t>
  </si>
  <si>
    <t>Advertencia / crítico / crítico severo; alertar por cruce y recordatorio, no por cada lectura.</t>
  </si>
  <si>
    <t>OPS-011</t>
  </si>
  <si>
    <t>Destinatarios</t>
  </si>
  <si>
    <t>Correos/roles para alertas técnicas</t>
  </si>
  <si>
    <t>Configurar supervisión</t>
  </si>
  <si>
    <t>Roles/correos</t>
  </si>
  <si>
    <t>Lista aprobada</t>
  </si>
  <si>
    <t>OPS-012</t>
  </si>
  <si>
    <t>Correos/roles para nivel y posible fuga</t>
  </si>
  <si>
    <t>Configurar operación</t>
  </si>
  <si>
    <t>OPS-013</t>
  </si>
  <si>
    <t>Resumen semanal</t>
  </si>
  <si>
    <t>Día, hora, zona horaria y destinatarios</t>
  </si>
  <si>
    <t>Programar reporte</t>
  </si>
  <si>
    <t>Horario / roles</t>
  </si>
  <si>
    <t>Decisión operativa</t>
  </si>
  <si>
    <t>SEC-001</t>
  </si>
  <si>
    <t>Secretos</t>
  </si>
  <si>
    <t>Gestor o método autorizado para secretos locales</t>
  </si>
  <si>
    <t>No guardar claves en código</t>
  </si>
  <si>
    <t>Secretos en archivos root-only fuera del repositorio; claves de dispositivo cifradas; inyección en despliegue y rotación auditada</t>
  </si>
  <si>
    <t>Producto / procedimiento</t>
  </si>
  <si>
    <t>Nunca guardar contraseñas o claves privadas en este workbook.</t>
  </si>
  <si>
    <t>SEC-002</t>
  </si>
  <si>
    <t>Cifrado de disco</t>
  </si>
  <si>
    <t>Requisito y tecnología permitida</t>
  </si>
  <si>
    <t>Protección de datos locales</t>
  </si>
  <si>
    <t>Cifrado de secretos y backups obligatorio; cifrado total de microSD por definir por impacto en arranque desatendido</t>
  </si>
  <si>
    <t>Sí/No / método</t>
  </si>
  <si>
    <t>Análisis de amenazas pendiente</t>
  </si>
  <si>
    <t>Evaluar LUKS con desbloqueo remoto/TPM externo versus disponibilidad.</t>
  </si>
  <si>
    <t>SEC-003</t>
  </si>
  <si>
    <t>Logs</t>
  </si>
  <si>
    <t>Eventos obligatorios y clasificación de datos</t>
  </si>
  <si>
    <t>Auditoría y privacidad</t>
  </si>
  <si>
    <t>JSON estructurado: autenticación, autorización, sesiones, relé, sensores, cambios de configuración, OTA, backups y arranque; sin secretos</t>
  </si>
  <si>
    <t>Listado / política</t>
  </si>
  <si>
    <t>Especificación funcional + diseño</t>
  </si>
  <si>
    <t>Logs append-only, rotación y sincronización; auditoría privada del proveedor.</t>
  </si>
  <si>
    <t>SEC-004</t>
  </si>
  <si>
    <t>Vulnerabilidades</t>
  </si>
  <si>
    <t>Proceso de parcheo y SLA por severidad</t>
  </si>
  <si>
    <t>Mantenimiento seguro</t>
  </si>
  <si>
    <t>Crítica 72 h, alta 14 días, media 30 días; parche mensual planificado; emergencia fuera de carga</t>
  </si>
  <si>
    <t>SLA</t>
  </si>
  <si>
    <t>Política propuesta</t>
  </si>
  <si>
    <t>Alinear con SLA corporativo.</t>
  </si>
  <si>
    <t>SEC-005</t>
  </si>
  <si>
    <t>Acceso soporte</t>
  </si>
  <si>
    <t>MFA, roles y trazabilidad exigida</t>
  </si>
  <si>
    <t>Acceso remoto controlado</t>
  </si>
  <si>
    <t>VPN + MFA + cuentas nominativas + mínimo privilegio + registro de sesión; sin control remoto de bomba</t>
  </si>
  <si>
    <t>Requisitos</t>
  </si>
  <si>
    <t>Acceso de soporte sólo a administración/observación.</t>
  </si>
  <si>
    <t>TST-001</t>
  </si>
  <si>
    <t>Pruebas</t>
  </si>
  <si>
    <t>Banco</t>
  </si>
  <si>
    <t>Disponibilidad de OCIO, K24, lector, módulos y PLC</t>
  </si>
  <si>
    <t>Planificar integración</t>
  </si>
  <si>
    <t>Fechas / ubicación</t>
  </si>
  <si>
    <t>Plan de proyecto</t>
  </si>
  <si>
    <t>TST-002</t>
  </si>
  <si>
    <t>Terreno</t>
  </si>
  <si>
    <t>Ventana disponible para instalación y calibración</t>
  </si>
  <si>
    <t>Planificar piloto</t>
  </si>
  <si>
    <t>Fechas / horario</t>
  </si>
  <si>
    <t>TST-003</t>
  </si>
  <si>
    <t>Aceptación</t>
  </si>
  <si>
    <t>Responsables de aprobación técnica, eléctrica y operacional</t>
  </si>
  <si>
    <t>Gobernanza del piloto</t>
  </si>
  <si>
    <t>Nombres / roles</t>
  </si>
  <si>
    <t>RACI</t>
  </si>
  <si>
    <t>TST-004</t>
  </si>
  <si>
    <t>Criterios eléctricos</t>
  </si>
  <si>
    <t>Normas y protocolos exigidos</t>
  </si>
  <si>
    <t>Recepción segura</t>
  </si>
  <si>
    <t>Normas / checklist</t>
  </si>
  <si>
    <t>Estándar aplicable</t>
  </si>
  <si>
    <t>TST-005</t>
  </si>
  <si>
    <t>Datos de prueba</t>
  </si>
  <si>
    <t>Operadores/equipos ficticios autorizados</t>
  </si>
  <si>
    <t>Ensayos reproducibles</t>
  </si>
  <si>
    <t>Plan de pruebas</t>
  </si>
  <si>
    <t>Compartido</t>
  </si>
  <si>
    <t>Por definir</t>
  </si>
  <si>
    <t>Código</t>
  </si>
  <si>
    <t>Tipo</t>
  </si>
  <si>
    <t>Decisión / riesgo</t>
  </si>
  <si>
    <t>Resolución adoptada</t>
  </si>
  <si>
    <t>Impacto / siguiente acción</t>
  </si>
  <si>
    <t>D-01</t>
  </si>
  <si>
    <t>Nodo padre del piloto</t>
  </si>
  <si>
    <t>Industrial Shields Raspberry PLC 19R + Raspberry Pi 4B 2 GB</t>
  </si>
  <si>
    <t>Adoptada</t>
  </si>
  <si>
    <t>Confirmar SKU y mapa eléctrico exacto antes del cableado</t>
  </si>
  <si>
    <t>D-02</t>
  </si>
  <si>
    <t>Validador</t>
  </si>
  <si>
    <t>Controlador del validador</t>
  </si>
  <si>
    <t>Arduino Nano ESP32 (ESP32-S3), alimentado permanentemente</t>
  </si>
  <si>
    <t>SPI 3.3 V para lector; MQTT/TLS hacia Raspberry</t>
  </si>
  <si>
    <t>D-03</t>
  </si>
  <si>
    <t>Tractores</t>
  </si>
  <si>
    <t>Módulo de identidad/presencia</t>
  </si>
  <si>
    <t>Seeed Studio XIAO ESP32C3 con antena externa y LiPo protegida</t>
  </si>
  <si>
    <t>Medir consumo y calibrar RSSI en terreno</t>
  </si>
  <si>
    <t>R-01</t>
  </si>
  <si>
    <t>Seguridad crítica</t>
  </si>
  <si>
    <t>RC522 no es recomendable para diseños nuevos</t>
  </si>
  <si>
    <t>Usarlo sólo en prototipo; migrar producción a CLRC663 plus + DESFire EV3 o equivalente</t>
  </si>
  <si>
    <t>Bloqueante</t>
  </si>
  <si>
    <t>Resolver antes de comprar credenciales/PCB de producción</t>
  </si>
  <si>
    <t>R-02</t>
  </si>
  <si>
    <t>TI corporativa</t>
  </si>
  <si>
    <t>ARM64 está soportado por CrowdStrike, pero falta validar combinación exacta</t>
  </si>
  <si>
    <t>Probar Ubuntu Server 22.04 LTS ARM64 + sensor Falcon autorizado + kernel fijado</t>
  </si>
  <si>
    <t>Ejecutar prueba de instalación, consumo, reinicio, actualización y telemetría antes de congelar la imagen</t>
  </si>
  <si>
    <t>D-04</t>
  </si>
  <si>
    <t>Software</t>
  </si>
  <si>
    <t>Despliegue en Raspberry</t>
  </si>
  <si>
    <t>Ubuntu Server 22.04 LTS ARM64 minimal + systemd, sin contenedores; Debian 12 ARM64 como alternativa</t>
  </si>
  <si>
    <t>Propuesta</t>
  </si>
  <si>
    <t>Validar compatibilidad de I/O del 19R y agente CrowdStrike en un equipo real</t>
  </si>
  <si>
    <t>D-05</t>
  </si>
  <si>
    <t>Mensajería</t>
  </si>
  <si>
    <t>Canal local de eventos/control</t>
  </si>
  <si>
    <t>Mosquitto local, MQTT 5 sobre TLS, ACL por dispositivo</t>
  </si>
  <si>
    <t>Definir tópicos y esquemas versionados</t>
  </si>
  <si>
    <t>D-06</t>
  </si>
  <si>
    <t>Persistencia</t>
  </si>
  <si>
    <t>Base local</t>
  </si>
  <si>
    <t>SQLite WAL, synchronous FULL, retención un año</t>
  </si>
  <si>
    <t>Diseñar esquema y pruebas de recuperación</t>
  </si>
  <si>
    <t>D-07</t>
  </si>
  <si>
    <t>Autenticación de módulos</t>
  </si>
  <si>
    <t>HMAC-SHA-256, clave única, nonce y anti-replay</t>
  </si>
  <si>
    <t>Provisionamiento offline y Secure Boot/Flash Encryption</t>
  </si>
  <si>
    <t>D-08</t>
  </si>
  <si>
    <t>Seguridad funcional</t>
  </si>
  <si>
    <t>Mando de bomba</t>
  </si>
  <si>
    <t>Sólo control local; E-stop, protecciones y bypass físicos independientes</t>
  </si>
  <si>
    <t>Diseño y aprobación por especialista eléctrico</t>
  </si>
  <si>
    <t>R-03</t>
  </si>
  <si>
    <t>Sensores definidos; faltan interfaz PLC, bomba y tablero</t>
  </si>
  <si>
    <t>OCIO F00755160 4–20 mA y K24 Pulser F0040722A quedan adoptados</t>
  </si>
  <si>
    <t>Confirmar entrada analógica 19R, aislador, bobina/contactor, protecciones y calibración volumétrica</t>
  </si>
  <si>
    <t>Transcend slc mode 240i 20 GB</t>
  </si>
  <si>
    <t>A2 V30</t>
  </si>
  <si>
    <t xml:space="preserve"> </t>
  </si>
  <si>
    <t>No realizable, diseño de estanque fuelmaster 2500L</t>
  </si>
  <si>
    <t>230V</t>
  </si>
  <si>
    <t>Modelo F00287P0A, 58 l/min, 3A, 350 W, 50 Hz, 2,9 bar, IP55</t>
  </si>
  <si>
    <t>Por calibrar en terreno</t>
  </si>
  <si>
    <t>LiPo 3.7 V protegida, 1,500 mAh, con NTC y certificación aplicable</t>
  </si>
  <si>
    <t>Inicial: despertar cada 10 s, anunciar 1 s a intervalo 250 ms y volver a deep sleep; ajustar en terreno</t>
  </si>
  <si>
    <t>Starlink</t>
  </si>
  <si>
    <t>Indiferente, depende de Concha y Toro</t>
  </si>
  <si>
    <t>Cuentas locales con roles (proveedor/encargado/consulta), hash Argon2id, sesión corta</t>
  </si>
  <si>
    <t>Región metropolitana</t>
  </si>
  <si>
    <t>19:00 pm a 6:00 am</t>
  </si>
  <si>
    <t>Fundo Santa Isabel</t>
  </si>
  <si>
    <t>Espacio desginado en fundo, no es relevante</t>
  </si>
  <si>
    <t>3 tractores. ID's por confirmar</t>
  </si>
  <si>
    <t xml:space="preserve">El sistema debe ser configurable </t>
  </si>
  <si>
    <t xml:space="preserve">Debe ser configurable en el sistema, nbo debe ser considerado en el diseño incial el destinatario. </t>
  </si>
  <si>
    <t>por definir</t>
  </si>
  <si>
    <t>48 horas</t>
  </si>
  <si>
    <t>Pliegos 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</si>
</sst>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263238"/>
      <name val="Aptos"/>
    </font>
    <font>
      <b/>
      <sz val="10"/>
      <color rgb="FFFFFFFF"/>
      <name val="Aptos"/>
    </font>
    <font>
      <b/>
      <sz val="10"/>
      <color rgb="FFFFFFFF"/>
      <name val="Aptos Display"/>
    </font>
    <font>
      <sz val="9"/>
      <color rgb="FF263238"/>
      <name val="Aptos"/>
    </font>
    <font>
      <b/>
      <sz val="22"/>
      <color rgb="FFFFFFFF"/>
      <name val="Aptos Display"/>
    </font>
    <font>
      <b/>
      <sz val="11"/>
      <color rgb="FF7F6000"/>
      <name val="Aptos"/>
    </font>
    <font>
      <sz val="11"/>
      <color rgb="FF263238"/>
      <name val="Aptos"/>
    </font>
    <font>
      <b/>
      <sz val="14"/>
      <color rgb="FF1F4E78"/>
      <name val="Aptos Display"/>
    </font>
    <font>
      <b/>
      <sz val="11"/>
      <color rgb="FFFFFFFF"/>
      <name val="Aptos"/>
    </font>
    <font>
      <b/>
      <sz val="11"/>
      <color rgb="FF17365D"/>
      <name val="Aptos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F6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7" fillId="0" borderId="3" xfId="0" applyFont="1" applyBorder="1"/>
    <xf numFmtId="0" fontId="7" fillId="0" borderId="5" xfId="0" applyFont="1" applyBorder="1"/>
    <xf numFmtId="0" fontId="7" fillId="0" borderId="7" xfId="0" applyFont="1" applyBorder="1"/>
    <xf numFmtId="0" fontId="8" fillId="0" borderId="4" xfId="0" applyFont="1" applyBorder="1"/>
    <xf numFmtId="0" fontId="8" fillId="0" borderId="6" xfId="0" applyFont="1" applyBorder="1"/>
    <xf numFmtId="9" fontId="8" fillId="0" borderId="8" xfId="0" applyNumberFormat="1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5" fillId="6" borderId="0" xfId="0" applyFont="1" applyFill="1" applyAlignment="1">
      <alignment horizontal="left" vertical="center"/>
    </xf>
    <xf numFmtId="0" fontId="6" fillId="3" borderId="0" xfId="0" applyFont="1" applyFill="1" applyAlignment="1">
      <alignment wrapText="1"/>
    </xf>
    <xf numFmtId="0" fontId="9" fillId="2" borderId="0" xfId="0" applyFont="1" applyFill="1"/>
    <xf numFmtId="0" fontId="1" fillId="5" borderId="0" xfId="0" applyFont="1" applyFill="1" applyAlignment="1">
      <alignment vertical="center" wrapText="1"/>
    </xf>
    <xf numFmtId="0" fontId="10" fillId="7" borderId="0" xfId="0" applyFont="1" applyFill="1" applyAlignment="1">
      <alignment wrapText="1"/>
    </xf>
    <xf numFmtId="0" fontId="4" fillId="9" borderId="2" xfId="0" applyFont="1" applyFill="1" applyBorder="1" applyAlignment="1">
      <alignment vertical="center" wrapText="1"/>
    </xf>
  </cellXfs>
  <cellStyles count="1">
    <cellStyle name="Normal" xfId="0" builtinId="0"/>
  </cellStyles>
  <dxfs count="16">
    <dxf>
      <font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C6E0B4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C6E0B4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C6E0B4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CE4D6"/>
        </patternFill>
      </fill>
    </dxf>
    <dxf>
      <font>
        <b/>
        <color rgb="FF385723"/>
      </font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Tecnicos" displayName="DatosTecnicos" ref="A1:L101" totalsRowShown="0">
  <autoFilter ref="A1:L101" xr:uid="{00000000-0009-0000-0100-000001000000}"/>
  <tableColumns count="12">
    <tableColumn id="1" xr3:uid="{00000000-0010-0000-0000-000001000000}" name="ID"/>
    <tableColumn id="2" xr3:uid="{00000000-0010-0000-0000-000002000000}" name="Área"/>
    <tableColumn id="3" xr3:uid="{00000000-0010-0000-0000-000003000000}" name="Tema / componente"/>
    <tableColumn id="4" xr3:uid="{00000000-0010-0000-0000-000004000000}" name="Dato técnico a completar"/>
    <tableColumn id="5" xr3:uid="{00000000-0010-0000-0000-000005000000}" name="Por qué se necesita"/>
    <tableColumn id="6" xr3:uid="{00000000-0010-0000-0000-000006000000}" name="Valor / respuesta"/>
    <tableColumn id="7" xr3:uid="{00000000-0010-0000-0000-000007000000}" name="Unidad o formato"/>
    <tableColumn id="8" xr3:uid="{00000000-0010-0000-0000-000008000000}" name="Obligatorio"/>
    <tableColumn id="9" xr3:uid="{00000000-0010-0000-0000-000009000000}" name="Estado"/>
    <tableColumn id="10" xr3:uid="{00000000-0010-0000-0000-00000A000000}" name="Responsable"/>
    <tableColumn id="11" xr3:uid="{00000000-0010-0000-0000-00000B000000}" name="Fuente / evidencia"/>
    <tableColumn id="12" xr3:uid="{00000000-0010-0000-0000-00000C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gistroDecisiones" displayName="RegistroDecisiones" ref="A1:F12" totalsRowShown="0">
  <tableColumns count="6">
    <tableColumn id="1" xr3:uid="{00000000-0010-0000-0100-000001000000}" name="Código"/>
    <tableColumn id="2" xr3:uid="{00000000-0010-0000-0100-000002000000}" name="Tipo"/>
    <tableColumn id="3" xr3:uid="{00000000-0010-0000-0100-000003000000}" name="Decisión / riesgo"/>
    <tableColumn id="4" xr3:uid="{00000000-0010-0000-0100-000004000000}" name="Resolución adoptada"/>
    <tableColumn id="5" xr3:uid="{00000000-0010-0000-0100-000005000000}" name="Estado"/>
    <tableColumn id="6" xr3:uid="{00000000-0010-0000-0100-000006000000}" name="Impacto / siguiente ac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zoomScale="140" zoomScaleNormal="140" workbookViewId="0">
      <selection activeCell="B11" sqref="B11"/>
    </sheetView>
  </sheetViews>
  <sheetFormatPr baseColWidth="10" defaultColWidth="8.83203125" defaultRowHeight="14"/>
  <cols>
    <col min="1" max="1" width="29" customWidth="1"/>
    <col min="2" max="2" width="18" customWidth="1"/>
    <col min="3" max="3" width="4" customWidth="1"/>
    <col min="4" max="8" width="17" customWidth="1"/>
  </cols>
  <sheetData>
    <row r="1" spans="1:8">
      <c r="A1" s="20" t="s">
        <v>0</v>
      </c>
      <c r="B1" s="20"/>
      <c r="C1" s="20"/>
      <c r="D1" s="20"/>
      <c r="E1" s="20"/>
      <c r="F1" s="20"/>
      <c r="G1" s="20"/>
      <c r="H1" s="20"/>
    </row>
    <row r="2" spans="1:8">
      <c r="A2" s="20"/>
      <c r="B2" s="20"/>
      <c r="C2" s="20"/>
      <c r="D2" s="20"/>
      <c r="E2" s="20"/>
      <c r="F2" s="20"/>
      <c r="G2" s="20"/>
      <c r="H2" s="20"/>
    </row>
    <row r="4" spans="1:8" ht="44" customHeight="1">
      <c r="A4" s="21" t="s">
        <v>1</v>
      </c>
      <c r="B4" s="21"/>
      <c r="C4" s="21"/>
      <c r="D4" s="21"/>
      <c r="E4" s="21"/>
      <c r="F4" s="21"/>
      <c r="G4" s="21"/>
      <c r="H4" s="21"/>
    </row>
    <row r="6" spans="1:8" ht="15">
      <c r="A6" s="2" t="s">
        <v>2</v>
      </c>
      <c r="B6" s="2" t="s">
        <v>3</v>
      </c>
      <c r="D6" s="22" t="s">
        <v>4</v>
      </c>
      <c r="E6" s="22"/>
      <c r="F6" s="22"/>
      <c r="G6" s="22"/>
      <c r="H6" s="22"/>
    </row>
    <row r="7" spans="1:8" ht="34" customHeight="1">
      <c r="A7" s="9" t="s">
        <v>5</v>
      </c>
      <c r="B7" s="12">
        <f>COUNTA('Levantamiento técnico'!$A$2:$A$101)</f>
        <v>100</v>
      </c>
      <c r="D7" s="23" t="s">
        <v>6</v>
      </c>
      <c r="E7" s="23"/>
      <c r="F7" s="23"/>
      <c r="G7" s="23"/>
      <c r="H7" s="23"/>
    </row>
    <row r="8" spans="1:8" ht="34" customHeight="1">
      <c r="A8" s="10" t="s">
        <v>7</v>
      </c>
      <c r="B8" s="13">
        <f>COUNTIF('Levantamiento técnico'!$I$2:$I$101,"Confirmado")</f>
        <v>84</v>
      </c>
      <c r="D8" s="23" t="s">
        <v>8</v>
      </c>
      <c r="E8" s="23"/>
      <c r="F8" s="23"/>
      <c r="G8" s="23"/>
      <c r="H8" s="23"/>
    </row>
    <row r="9" spans="1:8" ht="34" customHeight="1">
      <c r="A9" s="10" t="s">
        <v>9</v>
      </c>
      <c r="B9" s="13">
        <f>COUNTIF('Levantamiento técnico'!$I$2:$I$101,"Por confirmar")</f>
        <v>4</v>
      </c>
      <c r="D9" s="23" t="s">
        <v>10</v>
      </c>
      <c r="E9" s="23"/>
      <c r="F9" s="23"/>
      <c r="G9" s="23"/>
      <c r="H9" s="23"/>
    </row>
    <row r="10" spans="1:8" ht="34" customHeight="1">
      <c r="A10" s="10" t="s">
        <v>11</v>
      </c>
      <c r="B10" s="13">
        <f>COUNTIF('Levantamiento técnico'!$I$2:$I$101,"Pendiente")</f>
        <v>0</v>
      </c>
      <c r="D10" s="23" t="s">
        <v>12</v>
      </c>
      <c r="E10" s="23"/>
      <c r="F10" s="23"/>
      <c r="G10" s="23"/>
      <c r="H10" s="23"/>
    </row>
    <row r="11" spans="1:8" ht="34" customHeight="1">
      <c r="A11" s="10" t="s">
        <v>13</v>
      </c>
      <c r="B11" s="13">
        <f>COUNTIF('Levantamiento técnico'!$I$2:$I$101,"Bloqueado")</f>
        <v>2</v>
      </c>
      <c r="D11" s="23" t="s">
        <v>14</v>
      </c>
      <c r="E11" s="23"/>
      <c r="F11" s="23"/>
      <c r="G11" s="23"/>
      <c r="H11" s="23"/>
    </row>
    <row r="12" spans="1:8" ht="18">
      <c r="A12" s="10" t="s">
        <v>15</v>
      </c>
      <c r="B12" s="13">
        <f>COUNTIF('Levantamiento técnico'!$I$2:$I$101,"No aplica")</f>
        <v>10</v>
      </c>
    </row>
    <row r="13" spans="1:8" ht="18">
      <c r="A13" s="11" t="s">
        <v>16</v>
      </c>
      <c r="B13" s="14">
        <f>IFERROR(B8/(B7-B12),0)</f>
        <v>0.93333333333333335</v>
      </c>
    </row>
    <row r="15" spans="1:8" ht="38" customHeight="1">
      <c r="A15" s="24" t="s">
        <v>17</v>
      </c>
      <c r="B15" s="24"/>
      <c r="C15" s="24"/>
      <c r="D15" s="24"/>
      <c r="E15" s="24"/>
      <c r="F15" s="24"/>
      <c r="G15" s="24"/>
      <c r="H15" s="24"/>
    </row>
  </sheetData>
  <mergeCells count="9">
    <mergeCell ref="D9:H9"/>
    <mergeCell ref="D10:H10"/>
    <mergeCell ref="D11:H11"/>
    <mergeCell ref="A15:H15"/>
    <mergeCell ref="A1:H2"/>
    <mergeCell ref="A4:H4"/>
    <mergeCell ref="D6:H6"/>
    <mergeCell ref="D7:H7"/>
    <mergeCell ref="D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showGridLines="0" tabSelected="1" topLeftCell="C1" zoomScale="140" zoomScaleNormal="140" workbookViewId="0">
      <selection activeCell="I102" sqref="I102"/>
    </sheetView>
  </sheetViews>
  <sheetFormatPr baseColWidth="10" defaultColWidth="8.83203125" defaultRowHeight="14"/>
  <cols>
    <col min="1" max="1" width="12" customWidth="1"/>
    <col min="2" max="2" width="21" customWidth="1"/>
    <col min="3" max="3" width="23" customWidth="1"/>
    <col min="4" max="4" width="42" customWidth="1"/>
    <col min="5" max="5" width="30" customWidth="1"/>
    <col min="6" max="6" width="25" customWidth="1"/>
    <col min="7" max="7" width="19" customWidth="1"/>
    <col min="8" max="8" width="12" customWidth="1"/>
    <col min="9" max="9" width="16" customWidth="1"/>
    <col min="10" max="11" width="24" customWidth="1"/>
    <col min="12" max="12" width="31" customWidth="1"/>
  </cols>
  <sheetData>
    <row r="1" spans="1:12" ht="32" customHeight="1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</row>
    <row r="2" spans="1:12" ht="46" customHeight="1">
      <c r="A2" s="4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6" t="s">
        <v>35</v>
      </c>
      <c r="G2" s="5" t="s">
        <v>36</v>
      </c>
      <c r="H2" s="5" t="s">
        <v>37</v>
      </c>
      <c r="I2" s="7" t="s">
        <v>38</v>
      </c>
      <c r="J2" s="5" t="s">
        <v>39</v>
      </c>
      <c r="K2" s="8" t="s">
        <v>40</v>
      </c>
      <c r="L2" s="8" t="s">
        <v>41</v>
      </c>
    </row>
    <row r="3" spans="1:12" ht="46" customHeight="1">
      <c r="A3" s="4" t="s">
        <v>42</v>
      </c>
      <c r="B3" s="5" t="s">
        <v>31</v>
      </c>
      <c r="C3" s="5" t="s">
        <v>32</v>
      </c>
      <c r="D3" s="5" t="s">
        <v>43</v>
      </c>
      <c r="E3" s="5" t="s">
        <v>44</v>
      </c>
      <c r="F3" s="6" t="s">
        <v>45</v>
      </c>
      <c r="G3" s="5" t="s">
        <v>46</v>
      </c>
      <c r="H3" s="5" t="s">
        <v>37</v>
      </c>
      <c r="I3" s="7" t="s">
        <v>38</v>
      </c>
      <c r="J3" s="5" t="s">
        <v>39</v>
      </c>
      <c r="K3" s="8" t="s">
        <v>47</v>
      </c>
      <c r="L3" s="8" t="s">
        <v>48</v>
      </c>
    </row>
    <row r="4" spans="1:12" ht="46" customHeight="1">
      <c r="A4" s="4" t="s">
        <v>49</v>
      </c>
      <c r="B4" s="5" t="s">
        <v>31</v>
      </c>
      <c r="C4" s="5" t="s">
        <v>50</v>
      </c>
      <c r="D4" s="5" t="s">
        <v>51</v>
      </c>
      <c r="E4" s="5" t="s">
        <v>52</v>
      </c>
      <c r="F4" s="6" t="s">
        <v>53</v>
      </c>
      <c r="G4" s="5" t="s">
        <v>54</v>
      </c>
      <c r="H4" s="5" t="s">
        <v>37</v>
      </c>
      <c r="I4" s="7" t="s">
        <v>38</v>
      </c>
      <c r="J4" s="5" t="s">
        <v>39</v>
      </c>
      <c r="K4" s="8" t="s">
        <v>47</v>
      </c>
      <c r="L4" s="8" t="s">
        <v>55</v>
      </c>
    </row>
    <row r="5" spans="1:12" ht="46" customHeight="1">
      <c r="A5" s="4" t="s">
        <v>56</v>
      </c>
      <c r="B5" s="5" t="s">
        <v>31</v>
      </c>
      <c r="C5" s="5" t="s">
        <v>57</v>
      </c>
      <c r="D5" s="5" t="s">
        <v>58</v>
      </c>
      <c r="E5" s="5" t="s">
        <v>59</v>
      </c>
      <c r="F5" s="6">
        <v>2</v>
      </c>
      <c r="G5" s="5" t="s">
        <v>60</v>
      </c>
      <c r="H5" s="5" t="s">
        <v>37</v>
      </c>
      <c r="I5" s="7" t="s">
        <v>38</v>
      </c>
      <c r="J5" s="5" t="s">
        <v>39</v>
      </c>
      <c r="K5" s="8" t="s">
        <v>47</v>
      </c>
      <c r="L5" s="8" t="s">
        <v>61</v>
      </c>
    </row>
    <row r="6" spans="1:12" ht="46" customHeight="1">
      <c r="A6" s="4" t="s">
        <v>62</v>
      </c>
      <c r="B6" s="5" t="s">
        <v>31</v>
      </c>
      <c r="C6" s="5" t="s">
        <v>63</v>
      </c>
      <c r="D6" s="5" t="s">
        <v>64</v>
      </c>
      <c r="E6" s="5" t="s">
        <v>65</v>
      </c>
      <c r="F6" s="6" t="s">
        <v>755</v>
      </c>
      <c r="G6" s="5" t="s">
        <v>60</v>
      </c>
      <c r="H6" s="5" t="s">
        <v>37</v>
      </c>
      <c r="I6" s="7" t="s">
        <v>38</v>
      </c>
      <c r="J6" s="5" t="s">
        <v>39</v>
      </c>
      <c r="K6" s="8" t="s">
        <v>47</v>
      </c>
      <c r="L6" s="8" t="s">
        <v>66</v>
      </c>
    </row>
    <row r="7" spans="1:12" ht="46" customHeight="1">
      <c r="A7" s="4" t="s">
        <v>67</v>
      </c>
      <c r="B7" s="5" t="s">
        <v>31</v>
      </c>
      <c r="C7" s="5" t="s">
        <v>63</v>
      </c>
      <c r="D7" s="5" t="s">
        <v>68</v>
      </c>
      <c r="E7" s="5" t="s">
        <v>69</v>
      </c>
      <c r="F7" s="6" t="s">
        <v>756</v>
      </c>
      <c r="G7" s="5" t="s">
        <v>70</v>
      </c>
      <c r="H7" s="5" t="s">
        <v>37</v>
      </c>
      <c r="I7" s="7" t="s">
        <v>38</v>
      </c>
      <c r="J7" s="5" t="s">
        <v>39</v>
      </c>
      <c r="K7" s="8" t="s">
        <v>71</v>
      </c>
      <c r="L7" s="8" t="s">
        <v>72</v>
      </c>
    </row>
    <row r="8" spans="1:12" ht="46" customHeight="1">
      <c r="A8" s="4" t="s">
        <v>73</v>
      </c>
      <c r="B8" s="5" t="s">
        <v>31</v>
      </c>
      <c r="C8" s="5" t="s">
        <v>74</v>
      </c>
      <c r="D8" s="5" t="s">
        <v>75</v>
      </c>
      <c r="E8" s="5" t="s">
        <v>76</v>
      </c>
      <c r="F8" s="6" t="s">
        <v>77</v>
      </c>
      <c r="G8" s="5" t="s">
        <v>757</v>
      </c>
      <c r="H8" s="5" t="s">
        <v>37</v>
      </c>
      <c r="I8" s="7" t="s">
        <v>38</v>
      </c>
      <c r="J8" s="5" t="s">
        <v>39</v>
      </c>
      <c r="K8" s="8" t="s">
        <v>79</v>
      </c>
      <c r="L8" s="8" t="s">
        <v>80</v>
      </c>
    </row>
    <row r="9" spans="1:12" ht="46" customHeight="1">
      <c r="A9" s="4" t="s">
        <v>81</v>
      </c>
      <c r="B9" s="5" t="s">
        <v>31</v>
      </c>
      <c r="C9" s="5" t="s">
        <v>82</v>
      </c>
      <c r="D9" s="5" t="s">
        <v>83</v>
      </c>
      <c r="E9" s="5" t="s">
        <v>84</v>
      </c>
      <c r="F9" s="6" t="s">
        <v>85</v>
      </c>
      <c r="G9" s="5" t="s">
        <v>86</v>
      </c>
      <c r="H9" s="5" t="s">
        <v>37</v>
      </c>
      <c r="I9" s="7" t="s">
        <v>38</v>
      </c>
      <c r="J9" s="5" t="s">
        <v>39</v>
      </c>
      <c r="K9" s="8" t="s">
        <v>40</v>
      </c>
      <c r="L9" s="8" t="s">
        <v>87</v>
      </c>
    </row>
    <row r="10" spans="1:12" ht="46" customHeight="1">
      <c r="A10" s="4" t="s">
        <v>88</v>
      </c>
      <c r="B10" s="5" t="s">
        <v>31</v>
      </c>
      <c r="C10" s="5" t="s">
        <v>89</v>
      </c>
      <c r="D10" s="5" t="s">
        <v>90</v>
      </c>
      <c r="E10" s="5" t="s">
        <v>91</v>
      </c>
      <c r="F10" s="6" t="s">
        <v>92</v>
      </c>
      <c r="G10" s="5" t="s">
        <v>93</v>
      </c>
      <c r="H10" s="5" t="s">
        <v>37</v>
      </c>
      <c r="I10" s="7" t="s">
        <v>38</v>
      </c>
      <c r="J10" s="5" t="s">
        <v>39</v>
      </c>
      <c r="K10" s="8" t="s">
        <v>40</v>
      </c>
      <c r="L10" s="8" t="s">
        <v>94</v>
      </c>
    </row>
    <row r="11" spans="1:12" ht="46" customHeight="1">
      <c r="A11" s="4" t="s">
        <v>95</v>
      </c>
      <c r="B11" s="5" t="s">
        <v>31</v>
      </c>
      <c r="C11" s="5" t="s">
        <v>96</v>
      </c>
      <c r="D11" s="5" t="s">
        <v>97</v>
      </c>
      <c r="E11" s="5" t="s">
        <v>98</v>
      </c>
      <c r="F11" s="6" t="s">
        <v>99</v>
      </c>
      <c r="G11" s="5" t="s">
        <v>100</v>
      </c>
      <c r="H11" s="5" t="s">
        <v>37</v>
      </c>
      <c r="I11" s="7" t="s">
        <v>38</v>
      </c>
      <c r="J11" s="5" t="s">
        <v>39</v>
      </c>
      <c r="K11" s="8" t="s">
        <v>40</v>
      </c>
      <c r="L11" s="8" t="s">
        <v>101</v>
      </c>
    </row>
    <row r="12" spans="1:12" ht="46" customHeight="1">
      <c r="A12" s="4" t="s">
        <v>102</v>
      </c>
      <c r="B12" s="5" t="s">
        <v>103</v>
      </c>
      <c r="C12" s="5" t="s">
        <v>104</v>
      </c>
      <c r="D12" s="5" t="s">
        <v>105</v>
      </c>
      <c r="E12" s="5" t="s">
        <v>106</v>
      </c>
      <c r="F12" s="6" t="s">
        <v>107</v>
      </c>
      <c r="G12" s="5" t="s">
        <v>108</v>
      </c>
      <c r="H12" s="5" t="s">
        <v>37</v>
      </c>
      <c r="I12" s="7" t="s">
        <v>38</v>
      </c>
      <c r="J12" s="5" t="s">
        <v>109</v>
      </c>
      <c r="K12" s="8" t="s">
        <v>110</v>
      </c>
      <c r="L12" s="8" t="s">
        <v>111</v>
      </c>
    </row>
    <row r="13" spans="1:12" ht="46" customHeight="1">
      <c r="A13" s="4" t="s">
        <v>112</v>
      </c>
      <c r="B13" s="5" t="s">
        <v>103</v>
      </c>
      <c r="C13" s="5" t="s">
        <v>113</v>
      </c>
      <c r="D13" s="5" t="s">
        <v>114</v>
      </c>
      <c r="E13" s="5" t="s">
        <v>115</v>
      </c>
      <c r="F13" s="6" t="s">
        <v>116</v>
      </c>
      <c r="G13" s="5" t="s">
        <v>117</v>
      </c>
      <c r="H13" s="5" t="s">
        <v>126</v>
      </c>
      <c r="I13" s="7" t="s">
        <v>38</v>
      </c>
      <c r="J13" s="5" t="s">
        <v>39</v>
      </c>
      <c r="K13" s="8" t="s">
        <v>118</v>
      </c>
      <c r="L13" s="8" t="s">
        <v>119</v>
      </c>
    </row>
    <row r="14" spans="1:12" ht="46" customHeight="1">
      <c r="A14" s="4" t="s">
        <v>120</v>
      </c>
      <c r="B14" s="5" t="s">
        <v>103</v>
      </c>
      <c r="C14" s="5" t="s">
        <v>121</v>
      </c>
      <c r="D14" s="5" t="s">
        <v>122</v>
      </c>
      <c r="E14" s="5" t="s">
        <v>123</v>
      </c>
      <c r="F14" s="6" t="s">
        <v>124</v>
      </c>
      <c r="G14" s="5" t="s">
        <v>125</v>
      </c>
      <c r="H14" s="5" t="s">
        <v>126</v>
      </c>
      <c r="I14" s="7" t="s">
        <v>38</v>
      </c>
      <c r="J14" s="5" t="s">
        <v>39</v>
      </c>
      <c r="K14" s="8" t="s">
        <v>47</v>
      </c>
      <c r="L14" s="8" t="s">
        <v>127</v>
      </c>
    </row>
    <row r="15" spans="1:12" ht="46" customHeight="1">
      <c r="A15" s="4" t="s">
        <v>128</v>
      </c>
      <c r="B15" s="5" t="s">
        <v>129</v>
      </c>
      <c r="C15" s="5" t="s">
        <v>130</v>
      </c>
      <c r="D15" s="5" t="s">
        <v>131</v>
      </c>
      <c r="E15" s="5" t="s">
        <v>132</v>
      </c>
      <c r="F15" s="6" t="s">
        <v>133</v>
      </c>
      <c r="G15" s="5" t="s">
        <v>36</v>
      </c>
      <c r="H15" s="5" t="s">
        <v>37</v>
      </c>
      <c r="I15" s="7" t="s">
        <v>38</v>
      </c>
      <c r="J15" s="5" t="s">
        <v>39</v>
      </c>
      <c r="K15" s="8" t="s">
        <v>134</v>
      </c>
      <c r="L15" s="8" t="s">
        <v>135</v>
      </c>
    </row>
    <row r="16" spans="1:12" ht="46" customHeight="1">
      <c r="A16" s="4" t="s">
        <v>136</v>
      </c>
      <c r="B16" s="5" t="s">
        <v>129</v>
      </c>
      <c r="C16" s="5" t="s">
        <v>130</v>
      </c>
      <c r="D16" s="5" t="s">
        <v>137</v>
      </c>
      <c r="E16" s="5" t="s">
        <v>138</v>
      </c>
      <c r="F16" s="6" t="s">
        <v>139</v>
      </c>
      <c r="G16" s="5" t="s">
        <v>140</v>
      </c>
      <c r="H16" s="5" t="s">
        <v>37</v>
      </c>
      <c r="I16" s="7" t="s">
        <v>38</v>
      </c>
      <c r="J16" s="5" t="s">
        <v>39</v>
      </c>
      <c r="K16" s="8" t="s">
        <v>134</v>
      </c>
      <c r="L16" s="8" t="s">
        <v>141</v>
      </c>
    </row>
    <row r="17" spans="1:12" ht="46" customHeight="1">
      <c r="A17" s="4" t="s">
        <v>142</v>
      </c>
      <c r="B17" s="5" t="s">
        <v>129</v>
      </c>
      <c r="C17" s="5" t="s">
        <v>130</v>
      </c>
      <c r="D17" s="5" t="s">
        <v>143</v>
      </c>
      <c r="E17" s="5" t="s">
        <v>144</v>
      </c>
      <c r="F17" s="6" t="s">
        <v>145</v>
      </c>
      <c r="G17" s="5" t="s">
        <v>146</v>
      </c>
      <c r="H17" s="5" t="s">
        <v>37</v>
      </c>
      <c r="I17" s="7" t="s">
        <v>38</v>
      </c>
      <c r="J17" s="5" t="s">
        <v>39</v>
      </c>
      <c r="K17" s="8" t="s">
        <v>134</v>
      </c>
      <c r="L17" s="8" t="s">
        <v>147</v>
      </c>
    </row>
    <row r="18" spans="1:12" ht="46" customHeight="1">
      <c r="A18" s="4" t="s">
        <v>148</v>
      </c>
      <c r="B18" s="5" t="s">
        <v>129</v>
      </c>
      <c r="C18" s="5" t="s">
        <v>130</v>
      </c>
      <c r="D18" s="5" t="s">
        <v>149</v>
      </c>
      <c r="E18" s="5" t="s">
        <v>150</v>
      </c>
      <c r="F18" s="6" t="s">
        <v>151</v>
      </c>
      <c r="G18" s="5" t="s">
        <v>152</v>
      </c>
      <c r="H18" s="5" t="s">
        <v>37</v>
      </c>
      <c r="I18" s="7" t="s">
        <v>38</v>
      </c>
      <c r="J18" s="5" t="s">
        <v>109</v>
      </c>
      <c r="K18" s="8" t="s">
        <v>134</v>
      </c>
      <c r="L18" s="8" t="s">
        <v>153</v>
      </c>
    </row>
    <row r="19" spans="1:12" ht="46" customHeight="1">
      <c r="A19" s="4" t="s">
        <v>154</v>
      </c>
      <c r="B19" s="5" t="s">
        <v>129</v>
      </c>
      <c r="C19" s="5" t="s">
        <v>130</v>
      </c>
      <c r="D19" s="5" t="s">
        <v>155</v>
      </c>
      <c r="E19" s="5" t="s">
        <v>156</v>
      </c>
      <c r="F19" s="6" t="s">
        <v>157</v>
      </c>
      <c r="G19" s="5" t="s">
        <v>36</v>
      </c>
      <c r="H19" s="5" t="s">
        <v>37</v>
      </c>
      <c r="I19" s="7" t="s">
        <v>38</v>
      </c>
      <c r="J19" s="5" t="s">
        <v>109</v>
      </c>
      <c r="K19" s="8" t="s">
        <v>158</v>
      </c>
      <c r="L19" s="8" t="s">
        <v>159</v>
      </c>
    </row>
    <row r="20" spans="1:12" ht="46" customHeight="1">
      <c r="A20" s="4" t="s">
        <v>160</v>
      </c>
      <c r="B20" s="5" t="s">
        <v>129</v>
      </c>
      <c r="C20" s="5" t="s">
        <v>130</v>
      </c>
      <c r="D20" s="5" t="s">
        <v>161</v>
      </c>
      <c r="E20" s="5" t="s">
        <v>162</v>
      </c>
      <c r="F20" s="6" t="s">
        <v>163</v>
      </c>
      <c r="G20" s="5" t="s">
        <v>164</v>
      </c>
      <c r="H20" s="5" t="s">
        <v>126</v>
      </c>
      <c r="I20" s="7" t="s">
        <v>38</v>
      </c>
      <c r="J20" s="5" t="s">
        <v>39</v>
      </c>
      <c r="K20" s="8" t="s">
        <v>165</v>
      </c>
      <c r="L20" s="8" t="s">
        <v>166</v>
      </c>
    </row>
    <row r="21" spans="1:12" ht="46" customHeight="1">
      <c r="A21" s="4" t="s">
        <v>167</v>
      </c>
      <c r="B21" s="5" t="s">
        <v>129</v>
      </c>
      <c r="C21" s="5" t="s">
        <v>168</v>
      </c>
      <c r="D21" s="5" t="s">
        <v>169</v>
      </c>
      <c r="E21" s="5" t="s">
        <v>170</v>
      </c>
      <c r="F21" s="6" t="s">
        <v>171</v>
      </c>
      <c r="G21" s="5" t="s">
        <v>36</v>
      </c>
      <c r="H21" s="5" t="s">
        <v>37</v>
      </c>
      <c r="I21" s="7" t="s">
        <v>38</v>
      </c>
      <c r="J21" s="5" t="s">
        <v>39</v>
      </c>
      <c r="K21" s="8" t="s">
        <v>172</v>
      </c>
      <c r="L21" s="8" t="s">
        <v>135</v>
      </c>
    </row>
    <row r="22" spans="1:12" ht="46" customHeight="1">
      <c r="A22" s="4" t="s">
        <v>173</v>
      </c>
      <c r="B22" s="5" t="s">
        <v>129</v>
      </c>
      <c r="C22" s="5" t="s">
        <v>168</v>
      </c>
      <c r="D22" s="5" t="s">
        <v>174</v>
      </c>
      <c r="E22" s="5" t="s">
        <v>175</v>
      </c>
      <c r="F22" s="6" t="s">
        <v>176</v>
      </c>
      <c r="G22" s="5" t="s">
        <v>177</v>
      </c>
      <c r="H22" s="5" t="s">
        <v>37</v>
      </c>
      <c r="I22" s="7" t="s">
        <v>38</v>
      </c>
      <c r="J22" s="5" t="s">
        <v>39</v>
      </c>
      <c r="K22" s="8" t="s">
        <v>172</v>
      </c>
      <c r="L22" s="8" t="s">
        <v>178</v>
      </c>
    </row>
    <row r="23" spans="1:12" ht="46" customHeight="1">
      <c r="A23" s="4" t="s">
        <v>179</v>
      </c>
      <c r="B23" s="5" t="s">
        <v>129</v>
      </c>
      <c r="C23" s="5" t="s">
        <v>168</v>
      </c>
      <c r="D23" s="5" t="s">
        <v>180</v>
      </c>
      <c r="E23" s="5" t="s">
        <v>181</v>
      </c>
      <c r="F23" s="6" t="s">
        <v>182</v>
      </c>
      <c r="G23" s="5" t="s">
        <v>183</v>
      </c>
      <c r="H23" s="5" t="s">
        <v>37</v>
      </c>
      <c r="I23" s="7" t="s">
        <v>38</v>
      </c>
      <c r="J23" s="5" t="s">
        <v>39</v>
      </c>
      <c r="K23" s="8" t="s">
        <v>184</v>
      </c>
      <c r="L23" s="8" t="s">
        <v>185</v>
      </c>
    </row>
    <row r="24" spans="1:12" ht="46" customHeight="1">
      <c r="A24" s="4" t="s">
        <v>186</v>
      </c>
      <c r="B24" s="5" t="s">
        <v>129</v>
      </c>
      <c r="C24" s="5" t="s">
        <v>168</v>
      </c>
      <c r="D24" s="5" t="s">
        <v>187</v>
      </c>
      <c r="E24" s="5" t="s">
        <v>188</v>
      </c>
      <c r="F24" s="6" t="s">
        <v>189</v>
      </c>
      <c r="G24" s="5" t="s">
        <v>190</v>
      </c>
      <c r="H24" s="5" t="s">
        <v>37</v>
      </c>
      <c r="I24" s="7" t="s">
        <v>38</v>
      </c>
      <c r="J24" s="5" t="s">
        <v>39</v>
      </c>
      <c r="K24" s="8" t="s">
        <v>191</v>
      </c>
      <c r="L24" s="8" t="s">
        <v>192</v>
      </c>
    </row>
    <row r="25" spans="1:12" ht="46" customHeight="1">
      <c r="A25" s="4" t="s">
        <v>193</v>
      </c>
      <c r="B25" s="5" t="s">
        <v>129</v>
      </c>
      <c r="C25" s="5" t="s">
        <v>194</v>
      </c>
      <c r="D25" s="5" t="s">
        <v>195</v>
      </c>
      <c r="E25" s="5" t="s">
        <v>196</v>
      </c>
      <c r="F25" s="6" t="s">
        <v>197</v>
      </c>
      <c r="G25" s="5" t="s">
        <v>198</v>
      </c>
      <c r="H25" s="5" t="s">
        <v>37</v>
      </c>
      <c r="I25" s="7" t="s">
        <v>38</v>
      </c>
      <c r="J25" s="5" t="s">
        <v>199</v>
      </c>
      <c r="K25" s="8" t="s">
        <v>200</v>
      </c>
      <c r="L25" s="8" t="s">
        <v>201</v>
      </c>
    </row>
    <row r="26" spans="1:12" ht="46" customHeight="1">
      <c r="A26" s="4" t="s">
        <v>202</v>
      </c>
      <c r="B26" s="5" t="s">
        <v>129</v>
      </c>
      <c r="C26" s="5" t="s">
        <v>194</v>
      </c>
      <c r="D26" s="5" t="s">
        <v>203</v>
      </c>
      <c r="E26" s="5" t="s">
        <v>204</v>
      </c>
      <c r="F26" s="6" t="s">
        <v>758</v>
      </c>
      <c r="G26" s="5" t="s">
        <v>205</v>
      </c>
      <c r="H26" s="5" t="s">
        <v>126</v>
      </c>
      <c r="I26" s="7" t="s">
        <v>38</v>
      </c>
      <c r="J26" s="5" t="s">
        <v>199</v>
      </c>
      <c r="K26" s="8" t="s">
        <v>207</v>
      </c>
      <c r="L26" s="8"/>
    </row>
    <row r="27" spans="1:12" ht="46" customHeight="1">
      <c r="A27" s="4" t="s">
        <v>208</v>
      </c>
      <c r="B27" s="5" t="s">
        <v>129</v>
      </c>
      <c r="C27" s="5" t="s">
        <v>194</v>
      </c>
      <c r="D27" s="5" t="s">
        <v>209</v>
      </c>
      <c r="E27" s="5" t="s">
        <v>210</v>
      </c>
      <c r="F27" s="6" t="s">
        <v>761</v>
      </c>
      <c r="G27" s="5" t="s">
        <v>211</v>
      </c>
      <c r="H27" s="5" t="s">
        <v>126</v>
      </c>
      <c r="I27" s="7" t="s">
        <v>9</v>
      </c>
      <c r="J27" s="5" t="s">
        <v>39</v>
      </c>
      <c r="K27" s="8" t="s">
        <v>212</v>
      </c>
      <c r="L27" s="8"/>
    </row>
    <row r="28" spans="1:12" ht="46" customHeight="1">
      <c r="A28" s="4" t="s">
        <v>213</v>
      </c>
      <c r="B28" s="5" t="s">
        <v>214</v>
      </c>
      <c r="C28" s="5" t="s">
        <v>215</v>
      </c>
      <c r="D28" s="5" t="s">
        <v>216</v>
      </c>
      <c r="E28" s="5" t="s">
        <v>217</v>
      </c>
      <c r="F28" s="6" t="s">
        <v>760</v>
      </c>
      <c r="G28" s="5" t="s">
        <v>218</v>
      </c>
      <c r="H28" s="5" t="s">
        <v>37</v>
      </c>
      <c r="I28" s="7" t="s">
        <v>38</v>
      </c>
      <c r="J28" s="5" t="s">
        <v>199</v>
      </c>
      <c r="K28" s="8" t="s">
        <v>219</v>
      </c>
      <c r="L28" s="8"/>
    </row>
    <row r="29" spans="1:12" ht="46" customHeight="1">
      <c r="A29" s="4" t="s">
        <v>220</v>
      </c>
      <c r="B29" s="5" t="s">
        <v>214</v>
      </c>
      <c r="C29" s="5" t="s">
        <v>215</v>
      </c>
      <c r="D29" s="5" t="s">
        <v>221</v>
      </c>
      <c r="E29" s="5" t="s">
        <v>106</v>
      </c>
      <c r="F29" s="6" t="s">
        <v>759</v>
      </c>
      <c r="G29" s="5" t="s">
        <v>222</v>
      </c>
      <c r="H29" s="5" t="s">
        <v>37</v>
      </c>
      <c r="I29" s="7" t="s">
        <v>38</v>
      </c>
      <c r="J29" s="5" t="s">
        <v>109</v>
      </c>
      <c r="K29" s="8" t="s">
        <v>223</v>
      </c>
      <c r="L29" s="8"/>
    </row>
    <row r="30" spans="1:12" ht="46" customHeight="1">
      <c r="A30" s="4" t="s">
        <v>224</v>
      </c>
      <c r="B30" s="5" t="s">
        <v>214</v>
      </c>
      <c r="C30" s="5" t="s">
        <v>225</v>
      </c>
      <c r="D30" s="5" t="s">
        <v>226</v>
      </c>
      <c r="E30" s="5" t="s">
        <v>227</v>
      </c>
      <c r="F30" s="6"/>
      <c r="G30" s="5" t="s">
        <v>108</v>
      </c>
      <c r="H30" s="5" t="s">
        <v>37</v>
      </c>
      <c r="I30" s="7" t="s">
        <v>15</v>
      </c>
      <c r="J30" s="5" t="s">
        <v>109</v>
      </c>
      <c r="K30" s="8" t="s">
        <v>228</v>
      </c>
      <c r="L30" s="8"/>
    </row>
    <row r="31" spans="1:12" ht="46" customHeight="1">
      <c r="A31" s="4" t="s">
        <v>229</v>
      </c>
      <c r="B31" s="5" t="s">
        <v>214</v>
      </c>
      <c r="C31" s="5" t="s">
        <v>225</v>
      </c>
      <c r="D31" s="5" t="s">
        <v>230</v>
      </c>
      <c r="E31" s="5" t="s">
        <v>231</v>
      </c>
      <c r="F31" s="6"/>
      <c r="G31" s="5" t="s">
        <v>232</v>
      </c>
      <c r="H31" s="5" t="s">
        <v>37</v>
      </c>
      <c r="I31" s="7" t="s">
        <v>15</v>
      </c>
      <c r="J31" s="5" t="s">
        <v>109</v>
      </c>
      <c r="K31" s="8" t="s">
        <v>233</v>
      </c>
      <c r="L31" s="8"/>
    </row>
    <row r="32" spans="1:12" ht="46" customHeight="1">
      <c r="A32" s="4" t="s">
        <v>234</v>
      </c>
      <c r="B32" s="5" t="s">
        <v>214</v>
      </c>
      <c r="C32" s="5" t="s">
        <v>235</v>
      </c>
      <c r="D32" s="5" t="s">
        <v>236</v>
      </c>
      <c r="E32" s="5" t="s">
        <v>237</v>
      </c>
      <c r="F32" s="6"/>
      <c r="G32" s="5" t="s">
        <v>238</v>
      </c>
      <c r="H32" s="5" t="s">
        <v>37</v>
      </c>
      <c r="I32" s="7" t="s">
        <v>15</v>
      </c>
      <c r="J32" s="5" t="s">
        <v>109</v>
      </c>
      <c r="K32" s="8" t="s">
        <v>239</v>
      </c>
      <c r="L32" s="8"/>
    </row>
    <row r="33" spans="1:12" ht="46" customHeight="1">
      <c r="A33" s="4" t="s">
        <v>240</v>
      </c>
      <c r="B33" s="5" t="s">
        <v>214</v>
      </c>
      <c r="C33" s="5" t="s">
        <v>241</v>
      </c>
      <c r="D33" s="5" t="s">
        <v>242</v>
      </c>
      <c r="E33" s="5" t="s">
        <v>243</v>
      </c>
      <c r="F33" s="6"/>
      <c r="G33" s="5" t="s">
        <v>244</v>
      </c>
      <c r="H33" s="5" t="s">
        <v>37</v>
      </c>
      <c r="I33" s="7" t="s">
        <v>15</v>
      </c>
      <c r="J33" s="5" t="s">
        <v>109</v>
      </c>
      <c r="K33" s="8" t="s">
        <v>245</v>
      </c>
      <c r="L33" s="8"/>
    </row>
    <row r="34" spans="1:12" ht="46" customHeight="1">
      <c r="A34" s="4" t="s">
        <v>246</v>
      </c>
      <c r="B34" s="5" t="s">
        <v>214</v>
      </c>
      <c r="C34" s="5" t="s">
        <v>247</v>
      </c>
      <c r="D34" s="5" t="s">
        <v>248</v>
      </c>
      <c r="E34" s="5" t="s">
        <v>249</v>
      </c>
      <c r="F34" s="6"/>
      <c r="G34" s="5" t="s">
        <v>78</v>
      </c>
      <c r="H34" s="5" t="s">
        <v>37</v>
      </c>
      <c r="I34" s="7" t="s">
        <v>15</v>
      </c>
      <c r="J34" s="5" t="s">
        <v>109</v>
      </c>
      <c r="K34" s="8" t="s">
        <v>250</v>
      </c>
      <c r="L34" s="8"/>
    </row>
    <row r="35" spans="1:12" ht="46" customHeight="1">
      <c r="A35" s="4" t="s">
        <v>251</v>
      </c>
      <c r="B35" s="5" t="s">
        <v>214</v>
      </c>
      <c r="C35" s="5" t="s">
        <v>252</v>
      </c>
      <c r="D35" s="5" t="s">
        <v>253</v>
      </c>
      <c r="E35" s="5" t="s">
        <v>254</v>
      </c>
      <c r="F35" s="6"/>
      <c r="G35" s="5" t="s">
        <v>255</v>
      </c>
      <c r="H35" s="5" t="s">
        <v>37</v>
      </c>
      <c r="I35" s="7" t="s">
        <v>15</v>
      </c>
      <c r="J35" s="5" t="s">
        <v>109</v>
      </c>
      <c r="K35" s="8" t="s">
        <v>256</v>
      </c>
      <c r="L35" s="8" t="s">
        <v>257</v>
      </c>
    </row>
    <row r="36" spans="1:12" ht="46" customHeight="1">
      <c r="A36" s="4" t="s">
        <v>258</v>
      </c>
      <c r="B36" s="5" t="s">
        <v>214</v>
      </c>
      <c r="C36" s="5" t="s">
        <v>259</v>
      </c>
      <c r="D36" s="5" t="s">
        <v>260</v>
      </c>
      <c r="E36" s="5" t="s">
        <v>261</v>
      </c>
      <c r="F36" s="6"/>
      <c r="G36" s="5" t="s">
        <v>262</v>
      </c>
      <c r="H36" s="5" t="s">
        <v>37</v>
      </c>
      <c r="I36" s="7" t="s">
        <v>15</v>
      </c>
      <c r="J36" s="5" t="s">
        <v>109</v>
      </c>
      <c r="K36" s="8" t="s">
        <v>200</v>
      </c>
      <c r="L36" s="8"/>
    </row>
    <row r="37" spans="1:12" ht="46" customHeight="1">
      <c r="A37" s="4" t="s">
        <v>263</v>
      </c>
      <c r="B37" s="5" t="s">
        <v>214</v>
      </c>
      <c r="C37" s="5" t="s">
        <v>264</v>
      </c>
      <c r="D37" s="5" t="s">
        <v>265</v>
      </c>
      <c r="E37" s="5" t="s">
        <v>266</v>
      </c>
      <c r="F37" s="6"/>
      <c r="G37" s="5" t="s">
        <v>267</v>
      </c>
      <c r="H37" s="5" t="s">
        <v>37</v>
      </c>
      <c r="I37" s="7" t="s">
        <v>15</v>
      </c>
      <c r="J37" s="5" t="s">
        <v>109</v>
      </c>
      <c r="K37" s="8" t="s">
        <v>268</v>
      </c>
      <c r="L37" s="8"/>
    </row>
    <row r="38" spans="1:12" ht="46" customHeight="1">
      <c r="A38" s="4" t="s">
        <v>269</v>
      </c>
      <c r="B38" s="5" t="s">
        <v>270</v>
      </c>
      <c r="C38" s="5" t="s">
        <v>271</v>
      </c>
      <c r="D38" s="5" t="s">
        <v>272</v>
      </c>
      <c r="E38" s="5" t="s">
        <v>273</v>
      </c>
      <c r="F38" s="6" t="s">
        <v>274</v>
      </c>
      <c r="G38" s="5" t="s">
        <v>275</v>
      </c>
      <c r="H38" s="5" t="s">
        <v>37</v>
      </c>
      <c r="I38" s="7" t="s">
        <v>38</v>
      </c>
      <c r="J38" s="5" t="s">
        <v>39</v>
      </c>
      <c r="K38" s="8" t="s">
        <v>276</v>
      </c>
      <c r="L38" s="8" t="s">
        <v>277</v>
      </c>
    </row>
    <row r="39" spans="1:12" ht="46" customHeight="1">
      <c r="A39" s="4" t="s">
        <v>278</v>
      </c>
      <c r="B39" s="5" t="s">
        <v>270</v>
      </c>
      <c r="C39" s="5" t="s">
        <v>279</v>
      </c>
      <c r="D39" s="5" t="s">
        <v>280</v>
      </c>
      <c r="E39" s="5" t="s">
        <v>281</v>
      </c>
      <c r="F39" s="6" t="s">
        <v>282</v>
      </c>
      <c r="G39" s="5" t="s">
        <v>283</v>
      </c>
      <c r="H39" s="5" t="s">
        <v>37</v>
      </c>
      <c r="I39" s="7" t="s">
        <v>284</v>
      </c>
      <c r="J39" s="5" t="s">
        <v>39</v>
      </c>
      <c r="K39" s="8" t="s">
        <v>276</v>
      </c>
      <c r="L39" s="8" t="s">
        <v>285</v>
      </c>
    </row>
    <row r="40" spans="1:12" ht="46" customHeight="1">
      <c r="A40" s="4" t="s">
        <v>286</v>
      </c>
      <c r="B40" s="5" t="s">
        <v>270</v>
      </c>
      <c r="C40" s="5" t="s">
        <v>279</v>
      </c>
      <c r="D40" s="5" t="s">
        <v>287</v>
      </c>
      <c r="E40" s="5" t="s">
        <v>288</v>
      </c>
      <c r="F40" s="6" t="s">
        <v>289</v>
      </c>
      <c r="G40" s="5" t="s">
        <v>244</v>
      </c>
      <c r="H40" s="5" t="s">
        <v>37</v>
      </c>
      <c r="I40" s="7" t="s">
        <v>284</v>
      </c>
      <c r="J40" s="5" t="s">
        <v>39</v>
      </c>
      <c r="K40" s="8" t="s">
        <v>290</v>
      </c>
      <c r="L40" s="8" t="s">
        <v>291</v>
      </c>
    </row>
    <row r="41" spans="1:12" ht="46" customHeight="1">
      <c r="A41" s="4" t="s">
        <v>292</v>
      </c>
      <c r="B41" s="5" t="s">
        <v>270</v>
      </c>
      <c r="C41" s="5" t="s">
        <v>293</v>
      </c>
      <c r="D41" s="5" t="s">
        <v>294</v>
      </c>
      <c r="E41" s="5" t="s">
        <v>295</v>
      </c>
      <c r="F41" s="6" t="s">
        <v>296</v>
      </c>
      <c r="G41" s="5" t="s">
        <v>297</v>
      </c>
      <c r="H41" s="5" t="s">
        <v>126</v>
      </c>
      <c r="I41" s="7" t="s">
        <v>38</v>
      </c>
      <c r="J41" s="5" t="s">
        <v>39</v>
      </c>
      <c r="K41" s="8" t="s">
        <v>276</v>
      </c>
      <c r="L41" s="8" t="s">
        <v>298</v>
      </c>
    </row>
    <row r="42" spans="1:12" ht="46" customHeight="1">
      <c r="A42" s="4" t="s">
        <v>299</v>
      </c>
      <c r="B42" s="5" t="s">
        <v>270</v>
      </c>
      <c r="C42" s="5" t="s">
        <v>300</v>
      </c>
      <c r="D42" s="5" t="s">
        <v>301</v>
      </c>
      <c r="E42" s="5" t="s">
        <v>302</v>
      </c>
      <c r="F42" s="6" t="s">
        <v>303</v>
      </c>
      <c r="G42" s="5" t="s">
        <v>304</v>
      </c>
      <c r="H42" s="5" t="s">
        <v>37</v>
      </c>
      <c r="I42" s="7" t="s">
        <v>38</v>
      </c>
      <c r="J42" s="5" t="s">
        <v>199</v>
      </c>
      <c r="K42" s="8" t="s">
        <v>305</v>
      </c>
      <c r="L42" s="8" t="s">
        <v>306</v>
      </c>
    </row>
    <row r="43" spans="1:12" ht="46" customHeight="1">
      <c r="A43" s="4" t="s">
        <v>307</v>
      </c>
      <c r="B43" s="5" t="s">
        <v>308</v>
      </c>
      <c r="C43" s="5" t="s">
        <v>309</v>
      </c>
      <c r="D43" s="5" t="s">
        <v>310</v>
      </c>
      <c r="E43" s="5" t="s">
        <v>311</v>
      </c>
      <c r="F43" s="6" t="s">
        <v>312</v>
      </c>
      <c r="G43" s="5" t="s">
        <v>313</v>
      </c>
      <c r="H43" s="5" t="s">
        <v>37</v>
      </c>
      <c r="I43" s="7" t="s">
        <v>38</v>
      </c>
      <c r="J43" s="5" t="s">
        <v>39</v>
      </c>
      <c r="K43" s="8" t="s">
        <v>314</v>
      </c>
      <c r="L43" s="8" t="s">
        <v>315</v>
      </c>
    </row>
    <row r="44" spans="1:12" ht="46" customHeight="1">
      <c r="A44" s="4" t="s">
        <v>316</v>
      </c>
      <c r="B44" s="5" t="s">
        <v>308</v>
      </c>
      <c r="C44" s="5" t="s">
        <v>317</v>
      </c>
      <c r="D44" s="5" t="s">
        <v>318</v>
      </c>
      <c r="E44" s="5" t="s">
        <v>319</v>
      </c>
      <c r="F44" s="6" t="s">
        <v>762</v>
      </c>
      <c r="G44" s="5" t="s">
        <v>320</v>
      </c>
      <c r="H44" s="5" t="s">
        <v>37</v>
      </c>
      <c r="I44" s="7" t="s">
        <v>38</v>
      </c>
      <c r="J44" s="5" t="s">
        <v>39</v>
      </c>
      <c r="K44" s="8" t="s">
        <v>314</v>
      </c>
      <c r="L44" s="8" t="s">
        <v>321</v>
      </c>
    </row>
    <row r="45" spans="1:12" ht="46" customHeight="1">
      <c r="A45" s="4" t="s">
        <v>322</v>
      </c>
      <c r="B45" s="5" t="s">
        <v>308</v>
      </c>
      <c r="C45" s="5" t="s">
        <v>323</v>
      </c>
      <c r="D45" s="5" t="s">
        <v>324</v>
      </c>
      <c r="E45" s="5" t="s">
        <v>325</v>
      </c>
      <c r="F45" s="6">
        <v>3</v>
      </c>
      <c r="G45" s="5" t="s">
        <v>326</v>
      </c>
      <c r="H45" s="5" t="s">
        <v>37</v>
      </c>
      <c r="I45" s="7" t="s">
        <v>38</v>
      </c>
      <c r="J45" s="5" t="s">
        <v>199</v>
      </c>
      <c r="K45" s="8" t="s">
        <v>314</v>
      </c>
      <c r="L45" s="8" t="s">
        <v>327</v>
      </c>
    </row>
    <row r="46" spans="1:12" ht="46" customHeight="1">
      <c r="A46" s="4" t="s">
        <v>328</v>
      </c>
      <c r="B46" s="5" t="s">
        <v>308</v>
      </c>
      <c r="C46" s="5" t="s">
        <v>329</v>
      </c>
      <c r="D46" s="5" t="s">
        <v>330</v>
      </c>
      <c r="E46" s="5" t="s">
        <v>331</v>
      </c>
      <c r="F46" s="6" t="s">
        <v>332</v>
      </c>
      <c r="G46" s="5" t="s">
        <v>333</v>
      </c>
      <c r="H46" s="5" t="s">
        <v>37</v>
      </c>
      <c r="I46" s="7" t="s">
        <v>38</v>
      </c>
      <c r="J46" s="5" t="s">
        <v>39</v>
      </c>
      <c r="K46" s="8" t="s">
        <v>314</v>
      </c>
      <c r="L46" s="8" t="s">
        <v>334</v>
      </c>
    </row>
    <row r="47" spans="1:12" ht="46" customHeight="1">
      <c r="A47" s="4" t="s">
        <v>335</v>
      </c>
      <c r="B47" s="5" t="s">
        <v>308</v>
      </c>
      <c r="C47" s="5" t="s">
        <v>259</v>
      </c>
      <c r="D47" s="5" t="s">
        <v>336</v>
      </c>
      <c r="E47" s="5" t="s">
        <v>337</v>
      </c>
      <c r="F47" s="6" t="s">
        <v>338</v>
      </c>
      <c r="G47" s="5" t="s">
        <v>339</v>
      </c>
      <c r="H47" s="5" t="s">
        <v>37</v>
      </c>
      <c r="I47" s="7" t="s">
        <v>38</v>
      </c>
      <c r="J47" s="5" t="s">
        <v>199</v>
      </c>
      <c r="K47" s="8" t="s">
        <v>340</v>
      </c>
      <c r="L47" s="8" t="s">
        <v>341</v>
      </c>
    </row>
    <row r="48" spans="1:12" ht="46" customHeight="1">
      <c r="A48" s="4" t="s">
        <v>342</v>
      </c>
      <c r="B48" s="5" t="s">
        <v>308</v>
      </c>
      <c r="C48" s="5" t="s">
        <v>343</v>
      </c>
      <c r="D48" s="5" t="s">
        <v>344</v>
      </c>
      <c r="E48" s="5" t="s">
        <v>345</v>
      </c>
      <c r="F48" s="6" t="s">
        <v>763</v>
      </c>
      <c r="G48" s="5" t="s">
        <v>346</v>
      </c>
      <c r="H48" s="5" t="s">
        <v>37</v>
      </c>
      <c r="I48" s="7" t="s">
        <v>38</v>
      </c>
      <c r="J48" s="5" t="s">
        <v>39</v>
      </c>
      <c r="K48" s="8" t="s">
        <v>314</v>
      </c>
      <c r="L48" s="8" t="s">
        <v>347</v>
      </c>
    </row>
    <row r="49" spans="1:12" ht="46" customHeight="1">
      <c r="A49" s="4" t="s">
        <v>348</v>
      </c>
      <c r="B49" s="5" t="s">
        <v>308</v>
      </c>
      <c r="C49" s="5" t="s">
        <v>343</v>
      </c>
      <c r="D49" s="5" t="s">
        <v>349</v>
      </c>
      <c r="E49" s="5" t="s">
        <v>350</v>
      </c>
      <c r="F49" s="6" t="s">
        <v>351</v>
      </c>
      <c r="G49" s="5" t="s">
        <v>352</v>
      </c>
      <c r="H49" s="5" t="s">
        <v>37</v>
      </c>
      <c r="I49" s="7" t="s">
        <v>38</v>
      </c>
      <c r="J49" s="5" t="s">
        <v>39</v>
      </c>
      <c r="K49" s="8" t="s">
        <v>353</v>
      </c>
      <c r="L49" s="8" t="s">
        <v>354</v>
      </c>
    </row>
    <row r="50" spans="1:12" ht="46" customHeight="1">
      <c r="A50" s="4" t="s">
        <v>355</v>
      </c>
      <c r="B50" s="5" t="s">
        <v>308</v>
      </c>
      <c r="C50" s="5" t="s">
        <v>343</v>
      </c>
      <c r="D50" s="5" t="s">
        <v>356</v>
      </c>
      <c r="E50" s="5" t="s">
        <v>357</v>
      </c>
      <c r="F50" s="6" t="s">
        <v>358</v>
      </c>
      <c r="G50" s="5" t="s">
        <v>359</v>
      </c>
      <c r="H50" s="5" t="s">
        <v>37</v>
      </c>
      <c r="I50" s="7" t="s">
        <v>38</v>
      </c>
      <c r="J50" s="5" t="s">
        <v>39</v>
      </c>
      <c r="K50" s="8" t="s">
        <v>360</v>
      </c>
      <c r="L50" s="8" t="s">
        <v>361</v>
      </c>
    </row>
    <row r="51" spans="1:12" ht="46" customHeight="1">
      <c r="A51" s="4" t="s">
        <v>362</v>
      </c>
      <c r="B51" s="5" t="s">
        <v>308</v>
      </c>
      <c r="C51" s="5" t="s">
        <v>363</v>
      </c>
      <c r="D51" s="5" t="s">
        <v>364</v>
      </c>
      <c r="E51" s="5" t="s">
        <v>365</v>
      </c>
      <c r="F51" s="6" t="s">
        <v>366</v>
      </c>
      <c r="G51" s="5" t="s">
        <v>367</v>
      </c>
      <c r="H51" s="5" t="s">
        <v>37</v>
      </c>
      <c r="I51" s="7" t="s">
        <v>38</v>
      </c>
      <c r="J51" s="5" t="s">
        <v>39</v>
      </c>
      <c r="K51" s="8" t="s">
        <v>368</v>
      </c>
      <c r="L51" s="8" t="s">
        <v>369</v>
      </c>
    </row>
    <row r="52" spans="1:12" ht="46" customHeight="1">
      <c r="A52" s="4" t="s">
        <v>370</v>
      </c>
      <c r="B52" s="5" t="s">
        <v>308</v>
      </c>
      <c r="C52" s="5" t="s">
        <v>371</v>
      </c>
      <c r="D52" s="5" t="s">
        <v>372</v>
      </c>
      <c r="E52" s="5" t="s">
        <v>373</v>
      </c>
      <c r="F52" s="6" t="s">
        <v>374</v>
      </c>
      <c r="G52" s="5" t="s">
        <v>375</v>
      </c>
      <c r="H52" s="5" t="s">
        <v>37</v>
      </c>
      <c r="I52" s="7" t="s">
        <v>38</v>
      </c>
      <c r="J52" s="5" t="s">
        <v>39</v>
      </c>
      <c r="K52" s="8" t="s">
        <v>314</v>
      </c>
      <c r="L52" s="8" t="s">
        <v>376</v>
      </c>
    </row>
    <row r="53" spans="1:12" ht="46" customHeight="1">
      <c r="A53" s="4" t="s">
        <v>377</v>
      </c>
      <c r="B53" s="5" t="s">
        <v>378</v>
      </c>
      <c r="C53" s="5" t="s">
        <v>379</v>
      </c>
      <c r="D53" s="5" t="s">
        <v>380</v>
      </c>
      <c r="E53" s="5" t="s">
        <v>381</v>
      </c>
      <c r="F53" s="6" t="s">
        <v>764</v>
      </c>
      <c r="G53" s="5" t="s">
        <v>382</v>
      </c>
      <c r="H53" s="5" t="s">
        <v>37</v>
      </c>
      <c r="I53" s="7" t="s">
        <v>38</v>
      </c>
      <c r="J53" s="5" t="s">
        <v>199</v>
      </c>
      <c r="K53" s="8" t="s">
        <v>383</v>
      </c>
      <c r="L53" s="8" t="s">
        <v>384</v>
      </c>
    </row>
    <row r="54" spans="1:12" ht="46" customHeight="1">
      <c r="A54" s="4" t="s">
        <v>385</v>
      </c>
      <c r="B54" s="5" t="s">
        <v>378</v>
      </c>
      <c r="C54" s="5" t="s">
        <v>379</v>
      </c>
      <c r="D54" s="5" t="s">
        <v>386</v>
      </c>
      <c r="E54" s="5" t="s">
        <v>387</v>
      </c>
      <c r="F54" s="6"/>
      <c r="G54" s="5" t="s">
        <v>352</v>
      </c>
      <c r="H54" s="5" t="s">
        <v>37</v>
      </c>
      <c r="I54" s="7" t="s">
        <v>9</v>
      </c>
      <c r="J54" s="5" t="s">
        <v>199</v>
      </c>
      <c r="K54" s="8" t="s">
        <v>388</v>
      </c>
      <c r="L54" s="8"/>
    </row>
    <row r="55" spans="1:12" ht="46" customHeight="1">
      <c r="A55" s="4" t="s">
        <v>389</v>
      </c>
      <c r="B55" s="5" t="s">
        <v>378</v>
      </c>
      <c r="C55" s="5" t="s">
        <v>379</v>
      </c>
      <c r="D55" s="5" t="s">
        <v>390</v>
      </c>
      <c r="E55" s="5" t="s">
        <v>391</v>
      </c>
      <c r="F55" s="6" t="s">
        <v>392</v>
      </c>
      <c r="G55" s="5" t="s">
        <v>393</v>
      </c>
      <c r="H55" s="5" t="s">
        <v>37</v>
      </c>
      <c r="I55" s="7" t="s">
        <v>38</v>
      </c>
      <c r="J55" s="5" t="s">
        <v>199</v>
      </c>
      <c r="K55" s="8" t="s">
        <v>394</v>
      </c>
      <c r="L55" s="8" t="s">
        <v>395</v>
      </c>
    </row>
    <row r="56" spans="1:12" ht="46" customHeight="1">
      <c r="A56" s="4" t="s">
        <v>396</v>
      </c>
      <c r="B56" s="5" t="s">
        <v>378</v>
      </c>
      <c r="C56" s="5" t="s">
        <v>397</v>
      </c>
      <c r="D56" s="5" t="s">
        <v>398</v>
      </c>
      <c r="E56" s="5" t="s">
        <v>399</v>
      </c>
      <c r="F56" s="6" t="s">
        <v>400</v>
      </c>
      <c r="G56" s="5" t="s">
        <v>244</v>
      </c>
      <c r="H56" s="5" t="s">
        <v>37</v>
      </c>
      <c r="I56" s="7" t="s">
        <v>38</v>
      </c>
      <c r="J56" s="5" t="s">
        <v>199</v>
      </c>
      <c r="K56" s="8" t="s">
        <v>401</v>
      </c>
      <c r="L56" s="8" t="s">
        <v>402</v>
      </c>
    </row>
    <row r="57" spans="1:12" ht="46" customHeight="1">
      <c r="A57" s="4" t="s">
        <v>403</v>
      </c>
      <c r="B57" s="5" t="s">
        <v>378</v>
      </c>
      <c r="C57" s="5" t="s">
        <v>404</v>
      </c>
      <c r="D57" s="5" t="s">
        <v>405</v>
      </c>
      <c r="E57" s="5" t="s">
        <v>406</v>
      </c>
      <c r="F57" s="6" t="s">
        <v>407</v>
      </c>
      <c r="G57" s="5" t="s">
        <v>78</v>
      </c>
      <c r="H57" s="5" t="s">
        <v>37</v>
      </c>
      <c r="I57" s="7" t="s">
        <v>38</v>
      </c>
      <c r="J57" s="5" t="s">
        <v>199</v>
      </c>
      <c r="K57" s="8" t="s">
        <v>408</v>
      </c>
      <c r="L57" s="8" t="s">
        <v>409</v>
      </c>
    </row>
    <row r="58" spans="1:12" ht="46" customHeight="1">
      <c r="A58" s="4" t="s">
        <v>410</v>
      </c>
      <c r="B58" s="5" t="s">
        <v>378</v>
      </c>
      <c r="C58" s="5" t="s">
        <v>411</v>
      </c>
      <c r="D58" s="5" t="s">
        <v>412</v>
      </c>
      <c r="E58" s="5" t="s">
        <v>413</v>
      </c>
      <c r="F58" s="6" t="s">
        <v>414</v>
      </c>
      <c r="G58" s="5" t="s">
        <v>415</v>
      </c>
      <c r="H58" s="5" t="s">
        <v>37</v>
      </c>
      <c r="I58" s="7" t="s">
        <v>38</v>
      </c>
      <c r="J58" s="5" t="s">
        <v>199</v>
      </c>
      <c r="K58" s="8" t="s">
        <v>416</v>
      </c>
      <c r="L58" s="8" t="s">
        <v>417</v>
      </c>
    </row>
    <row r="59" spans="1:12" ht="46" customHeight="1">
      <c r="A59" s="4" t="s">
        <v>418</v>
      </c>
      <c r="B59" s="5" t="s">
        <v>378</v>
      </c>
      <c r="C59" s="5" t="s">
        <v>419</v>
      </c>
      <c r="D59" s="5" t="s">
        <v>420</v>
      </c>
      <c r="E59" s="5" t="s">
        <v>421</v>
      </c>
      <c r="F59" s="6" t="s">
        <v>765</v>
      </c>
      <c r="G59" s="5" t="s">
        <v>422</v>
      </c>
      <c r="H59" s="5" t="s">
        <v>37</v>
      </c>
      <c r="I59" s="7" t="s">
        <v>38</v>
      </c>
      <c r="J59" s="5" t="s">
        <v>199</v>
      </c>
      <c r="K59" s="8" t="s">
        <v>423</v>
      </c>
      <c r="L59" s="8"/>
    </row>
    <row r="60" spans="1:12" ht="46" customHeight="1">
      <c r="A60" s="4" t="s">
        <v>424</v>
      </c>
      <c r="B60" s="5" t="s">
        <v>378</v>
      </c>
      <c r="C60" s="5" t="s">
        <v>425</v>
      </c>
      <c r="D60" s="5" t="s">
        <v>426</v>
      </c>
      <c r="E60" s="5" t="s">
        <v>427</v>
      </c>
      <c r="F60" s="6" t="s">
        <v>428</v>
      </c>
      <c r="G60" s="5" t="s">
        <v>429</v>
      </c>
      <c r="H60" s="5" t="s">
        <v>37</v>
      </c>
      <c r="I60" s="7" t="s">
        <v>38</v>
      </c>
      <c r="J60" s="5" t="s">
        <v>199</v>
      </c>
      <c r="K60" s="8" t="s">
        <v>430</v>
      </c>
      <c r="L60" s="8" t="s">
        <v>431</v>
      </c>
    </row>
    <row r="61" spans="1:12" ht="46" customHeight="1">
      <c r="A61" s="4" t="s">
        <v>432</v>
      </c>
      <c r="B61" s="5" t="s">
        <v>378</v>
      </c>
      <c r="C61" s="5" t="s">
        <v>433</v>
      </c>
      <c r="D61" s="5" t="s">
        <v>434</v>
      </c>
      <c r="E61" s="5" t="s">
        <v>435</v>
      </c>
      <c r="F61" s="6" t="s">
        <v>436</v>
      </c>
      <c r="G61" s="5" t="s">
        <v>437</v>
      </c>
      <c r="H61" s="5" t="s">
        <v>37</v>
      </c>
      <c r="I61" s="7" t="s">
        <v>38</v>
      </c>
      <c r="J61" s="5" t="s">
        <v>39</v>
      </c>
      <c r="K61" s="8" t="s">
        <v>401</v>
      </c>
      <c r="L61" s="8" t="s">
        <v>438</v>
      </c>
    </row>
    <row r="62" spans="1:12" ht="46" customHeight="1">
      <c r="A62" s="4" t="s">
        <v>439</v>
      </c>
      <c r="B62" s="5" t="s">
        <v>378</v>
      </c>
      <c r="C62" s="5" t="s">
        <v>440</v>
      </c>
      <c r="D62" s="5" t="s">
        <v>441</v>
      </c>
      <c r="E62" s="5" t="s">
        <v>442</v>
      </c>
      <c r="F62" s="6" t="s">
        <v>443</v>
      </c>
      <c r="G62" s="5" t="s">
        <v>375</v>
      </c>
      <c r="H62" s="5" t="s">
        <v>37</v>
      </c>
      <c r="I62" s="7" t="s">
        <v>38</v>
      </c>
      <c r="J62" s="5" t="s">
        <v>39</v>
      </c>
      <c r="K62" s="8" t="s">
        <v>444</v>
      </c>
      <c r="L62" s="8" t="s">
        <v>445</v>
      </c>
    </row>
    <row r="63" spans="1:12" ht="46" customHeight="1">
      <c r="A63" s="4" t="s">
        <v>446</v>
      </c>
      <c r="B63" s="5" t="s">
        <v>447</v>
      </c>
      <c r="C63" s="5" t="s">
        <v>448</v>
      </c>
      <c r="D63" s="25" t="s">
        <v>449</v>
      </c>
      <c r="E63" s="5" t="s">
        <v>450</v>
      </c>
      <c r="F63" s="6" t="s">
        <v>451</v>
      </c>
      <c r="G63" s="5" t="s">
        <v>452</v>
      </c>
      <c r="H63" s="5" t="s">
        <v>37</v>
      </c>
      <c r="I63" s="7" t="s">
        <v>9</v>
      </c>
      <c r="J63" s="5" t="s">
        <v>39</v>
      </c>
      <c r="K63" s="8" t="s">
        <v>453</v>
      </c>
      <c r="L63" s="8" t="s">
        <v>454</v>
      </c>
    </row>
    <row r="64" spans="1:12" ht="46" customHeight="1">
      <c r="A64" s="4" t="s">
        <v>455</v>
      </c>
      <c r="B64" s="5" t="s">
        <v>447</v>
      </c>
      <c r="C64" s="5" t="s">
        <v>456</v>
      </c>
      <c r="D64" s="5" t="s">
        <v>457</v>
      </c>
      <c r="E64" s="5" t="s">
        <v>458</v>
      </c>
      <c r="F64" s="6" t="s">
        <v>459</v>
      </c>
      <c r="G64" s="5" t="s">
        <v>460</v>
      </c>
      <c r="H64" s="5" t="s">
        <v>37</v>
      </c>
      <c r="I64" s="7" t="s">
        <v>38</v>
      </c>
      <c r="J64" s="5" t="s">
        <v>199</v>
      </c>
      <c r="K64" s="8" t="s">
        <v>47</v>
      </c>
      <c r="L64" s="8" t="s">
        <v>461</v>
      </c>
    </row>
    <row r="65" spans="1:12" ht="46" customHeight="1">
      <c r="A65" s="4" t="s">
        <v>462</v>
      </c>
      <c r="B65" s="5" t="s">
        <v>447</v>
      </c>
      <c r="C65" s="5" t="s">
        <v>463</v>
      </c>
      <c r="D65" s="5" t="s">
        <v>464</v>
      </c>
      <c r="E65" s="5" t="s">
        <v>465</v>
      </c>
      <c r="F65" s="6" t="s">
        <v>466</v>
      </c>
      <c r="G65" s="5" t="s">
        <v>467</v>
      </c>
      <c r="H65" s="5" t="s">
        <v>37</v>
      </c>
      <c r="I65" s="7" t="s">
        <v>38</v>
      </c>
      <c r="J65" s="5" t="s">
        <v>199</v>
      </c>
      <c r="K65" s="8" t="s">
        <v>453</v>
      </c>
      <c r="L65" s="8" t="s">
        <v>468</v>
      </c>
    </row>
    <row r="66" spans="1:12" ht="46" customHeight="1">
      <c r="A66" s="4" t="s">
        <v>469</v>
      </c>
      <c r="B66" s="5" t="s">
        <v>447</v>
      </c>
      <c r="C66" s="5" t="s">
        <v>470</v>
      </c>
      <c r="D66" s="5" t="s">
        <v>471</v>
      </c>
      <c r="E66" s="5" t="s">
        <v>472</v>
      </c>
      <c r="F66" s="6" t="s">
        <v>473</v>
      </c>
      <c r="G66" s="5" t="s">
        <v>474</v>
      </c>
      <c r="H66" s="5" t="s">
        <v>37</v>
      </c>
      <c r="I66" s="7" t="s">
        <v>38</v>
      </c>
      <c r="J66" s="5" t="s">
        <v>199</v>
      </c>
      <c r="K66" s="8" t="s">
        <v>401</v>
      </c>
      <c r="L66" s="8" t="s">
        <v>475</v>
      </c>
    </row>
    <row r="67" spans="1:12" ht="46" customHeight="1">
      <c r="A67" s="4" t="s">
        <v>476</v>
      </c>
      <c r="B67" s="5" t="s">
        <v>447</v>
      </c>
      <c r="C67" s="5" t="s">
        <v>477</v>
      </c>
      <c r="D67" s="5" t="s">
        <v>478</v>
      </c>
      <c r="E67" s="5" t="s">
        <v>479</v>
      </c>
      <c r="F67" s="6" t="s">
        <v>480</v>
      </c>
      <c r="G67" s="5" t="s">
        <v>481</v>
      </c>
      <c r="H67" s="5" t="s">
        <v>37</v>
      </c>
      <c r="I67" s="7" t="s">
        <v>38</v>
      </c>
      <c r="J67" s="5" t="s">
        <v>39</v>
      </c>
      <c r="K67" s="8" t="s">
        <v>482</v>
      </c>
      <c r="L67" s="8" t="s">
        <v>483</v>
      </c>
    </row>
    <row r="68" spans="1:12" ht="46" customHeight="1">
      <c r="A68" s="4" t="s">
        <v>484</v>
      </c>
      <c r="B68" s="5" t="s">
        <v>447</v>
      </c>
      <c r="C68" s="5" t="s">
        <v>485</v>
      </c>
      <c r="D68" s="5" t="s">
        <v>486</v>
      </c>
      <c r="E68" s="5" t="s">
        <v>487</v>
      </c>
      <c r="F68" s="6">
        <v>1</v>
      </c>
      <c r="G68" s="5" t="s">
        <v>488</v>
      </c>
      <c r="H68" s="5" t="s">
        <v>37</v>
      </c>
      <c r="I68" s="7" t="s">
        <v>38</v>
      </c>
      <c r="J68" s="5" t="s">
        <v>199</v>
      </c>
      <c r="K68" s="8" t="s">
        <v>416</v>
      </c>
      <c r="L68" s="8" t="s">
        <v>489</v>
      </c>
    </row>
    <row r="69" spans="1:12" ht="46" customHeight="1">
      <c r="A69" s="4" t="s">
        <v>490</v>
      </c>
      <c r="B69" s="5" t="s">
        <v>447</v>
      </c>
      <c r="C69" s="5" t="s">
        <v>491</v>
      </c>
      <c r="D69" s="5" t="s">
        <v>492</v>
      </c>
      <c r="E69" s="5" t="s">
        <v>493</v>
      </c>
      <c r="F69" s="6" t="s">
        <v>766</v>
      </c>
      <c r="G69" s="5" t="s">
        <v>494</v>
      </c>
      <c r="H69" s="5" t="s">
        <v>37</v>
      </c>
      <c r="I69" s="7" t="s">
        <v>38</v>
      </c>
      <c r="J69" s="5" t="s">
        <v>199</v>
      </c>
      <c r="K69" s="8" t="s">
        <v>444</v>
      </c>
      <c r="L69" s="8" t="s">
        <v>495</v>
      </c>
    </row>
    <row r="70" spans="1:12" ht="46" customHeight="1">
      <c r="A70" s="4" t="s">
        <v>496</v>
      </c>
      <c r="B70" s="5" t="s">
        <v>447</v>
      </c>
      <c r="C70" s="5" t="s">
        <v>497</v>
      </c>
      <c r="D70" s="5" t="s">
        <v>498</v>
      </c>
      <c r="E70" s="5" t="s">
        <v>499</v>
      </c>
      <c r="F70" s="6" t="s">
        <v>500</v>
      </c>
      <c r="G70" s="5" t="s">
        <v>78</v>
      </c>
      <c r="H70" s="5" t="s">
        <v>126</v>
      </c>
      <c r="I70" s="7" t="s">
        <v>38</v>
      </c>
      <c r="J70" s="5" t="s">
        <v>199</v>
      </c>
      <c r="K70" s="8" t="s">
        <v>501</v>
      </c>
      <c r="L70" s="8" t="s">
        <v>502</v>
      </c>
    </row>
    <row r="71" spans="1:12" ht="46" customHeight="1">
      <c r="A71" s="4" t="s">
        <v>503</v>
      </c>
      <c r="B71" s="5" t="s">
        <v>504</v>
      </c>
      <c r="C71" s="5" t="s">
        <v>505</v>
      </c>
      <c r="D71" s="5" t="s">
        <v>506</v>
      </c>
      <c r="E71" s="5" t="s">
        <v>507</v>
      </c>
      <c r="F71" s="6" t="s">
        <v>767</v>
      </c>
      <c r="G71" s="5" t="s">
        <v>508</v>
      </c>
      <c r="H71" s="5" t="s">
        <v>37</v>
      </c>
      <c r="I71" s="7" t="s">
        <v>38</v>
      </c>
      <c r="J71" s="5" t="s">
        <v>39</v>
      </c>
      <c r="K71" s="8" t="s">
        <v>509</v>
      </c>
      <c r="L71" s="8"/>
    </row>
    <row r="72" spans="1:12" ht="46" customHeight="1">
      <c r="A72" s="4" t="s">
        <v>510</v>
      </c>
      <c r="B72" s="5" t="s">
        <v>504</v>
      </c>
      <c r="C72" s="5" t="s">
        <v>511</v>
      </c>
      <c r="D72" s="5" t="s">
        <v>512</v>
      </c>
      <c r="E72" s="5" t="s">
        <v>513</v>
      </c>
      <c r="F72" s="6" t="s">
        <v>514</v>
      </c>
      <c r="G72" s="5" t="s">
        <v>515</v>
      </c>
      <c r="H72" s="5" t="s">
        <v>37</v>
      </c>
      <c r="I72" s="7" t="s">
        <v>38</v>
      </c>
      <c r="J72" s="5" t="s">
        <v>39</v>
      </c>
      <c r="K72" s="8" t="s">
        <v>516</v>
      </c>
      <c r="L72" s="8" t="s">
        <v>517</v>
      </c>
    </row>
    <row r="73" spans="1:12" ht="46" customHeight="1">
      <c r="A73" s="4" t="s">
        <v>518</v>
      </c>
      <c r="B73" s="5" t="s">
        <v>504</v>
      </c>
      <c r="C73" s="5" t="s">
        <v>511</v>
      </c>
      <c r="D73" s="5" t="s">
        <v>519</v>
      </c>
      <c r="E73" s="5" t="s">
        <v>520</v>
      </c>
      <c r="F73" s="6" t="s">
        <v>521</v>
      </c>
      <c r="G73" s="5" t="s">
        <v>244</v>
      </c>
      <c r="H73" s="5" t="s">
        <v>37</v>
      </c>
      <c r="I73" s="7" t="s">
        <v>38</v>
      </c>
      <c r="J73" s="5" t="s">
        <v>39</v>
      </c>
      <c r="K73" s="8" t="s">
        <v>522</v>
      </c>
      <c r="L73" s="8" t="s">
        <v>523</v>
      </c>
    </row>
    <row r="74" spans="1:12" ht="46" customHeight="1">
      <c r="A74" s="4" t="s">
        <v>524</v>
      </c>
      <c r="B74" s="5" t="s">
        <v>504</v>
      </c>
      <c r="C74" s="5" t="s">
        <v>511</v>
      </c>
      <c r="D74" s="5" t="s">
        <v>525</v>
      </c>
      <c r="E74" s="5" t="s">
        <v>526</v>
      </c>
      <c r="F74" s="6" t="s">
        <v>527</v>
      </c>
      <c r="G74" s="5" t="s">
        <v>528</v>
      </c>
      <c r="H74" s="5" t="s">
        <v>37</v>
      </c>
      <c r="I74" s="7" t="s">
        <v>38</v>
      </c>
      <c r="J74" s="5" t="s">
        <v>199</v>
      </c>
      <c r="K74" s="8" t="s">
        <v>529</v>
      </c>
      <c r="L74" s="8" t="s">
        <v>530</v>
      </c>
    </row>
    <row r="75" spans="1:12" ht="46" customHeight="1">
      <c r="A75" s="4" t="s">
        <v>531</v>
      </c>
      <c r="B75" s="5" t="s">
        <v>504</v>
      </c>
      <c r="C75" s="5" t="s">
        <v>532</v>
      </c>
      <c r="D75" s="5" t="s">
        <v>533</v>
      </c>
      <c r="E75" s="5" t="s">
        <v>534</v>
      </c>
      <c r="F75" s="6" t="s">
        <v>535</v>
      </c>
      <c r="G75" s="5" t="s">
        <v>536</v>
      </c>
      <c r="H75" s="5" t="s">
        <v>37</v>
      </c>
      <c r="I75" s="7" t="s">
        <v>38</v>
      </c>
      <c r="J75" s="5" t="s">
        <v>39</v>
      </c>
      <c r="K75" s="8" t="s">
        <v>416</v>
      </c>
      <c r="L75" s="8" t="s">
        <v>537</v>
      </c>
    </row>
    <row r="76" spans="1:12" ht="46" customHeight="1">
      <c r="A76" s="4" t="s">
        <v>538</v>
      </c>
      <c r="B76" s="5" t="s">
        <v>504</v>
      </c>
      <c r="C76" s="5" t="s">
        <v>539</v>
      </c>
      <c r="D76" s="5" t="s">
        <v>540</v>
      </c>
      <c r="E76" s="5" t="s">
        <v>541</v>
      </c>
      <c r="F76" s="6" t="s">
        <v>542</v>
      </c>
      <c r="G76" s="5" t="s">
        <v>244</v>
      </c>
      <c r="H76" s="5" t="s">
        <v>37</v>
      </c>
      <c r="I76" s="7" t="s">
        <v>38</v>
      </c>
      <c r="J76" s="5" t="s">
        <v>39</v>
      </c>
      <c r="K76" s="8" t="s">
        <v>444</v>
      </c>
      <c r="L76" s="8" t="s">
        <v>543</v>
      </c>
    </row>
    <row r="77" spans="1:12" ht="46" customHeight="1">
      <c r="A77" s="4" t="s">
        <v>544</v>
      </c>
      <c r="B77" s="5" t="s">
        <v>504</v>
      </c>
      <c r="C77" s="5" t="s">
        <v>539</v>
      </c>
      <c r="D77" s="5" t="s">
        <v>545</v>
      </c>
      <c r="E77" s="5" t="s">
        <v>546</v>
      </c>
      <c r="F77" s="6" t="s">
        <v>768</v>
      </c>
      <c r="G77" s="5" t="s">
        <v>547</v>
      </c>
      <c r="H77" s="5" t="s">
        <v>37</v>
      </c>
      <c r="I77" s="7" t="s">
        <v>38</v>
      </c>
      <c r="J77" s="5" t="s">
        <v>199</v>
      </c>
      <c r="K77" s="8" t="s">
        <v>416</v>
      </c>
      <c r="L77" s="8" t="s">
        <v>548</v>
      </c>
    </row>
    <row r="78" spans="1:12" ht="46" customHeight="1">
      <c r="A78" s="4" t="s">
        <v>549</v>
      </c>
      <c r="B78" s="5" t="s">
        <v>504</v>
      </c>
      <c r="C78" s="5" t="s">
        <v>550</v>
      </c>
      <c r="D78" s="5" t="s">
        <v>551</v>
      </c>
      <c r="E78" s="5" t="s">
        <v>552</v>
      </c>
      <c r="F78" s="6" t="s">
        <v>553</v>
      </c>
      <c r="G78" s="5" t="s">
        <v>554</v>
      </c>
      <c r="H78" s="5" t="s">
        <v>37</v>
      </c>
      <c r="I78" s="7" t="s">
        <v>38</v>
      </c>
      <c r="J78" s="5" t="s">
        <v>39</v>
      </c>
      <c r="K78" s="8" t="s">
        <v>401</v>
      </c>
      <c r="L78" s="8" t="s">
        <v>555</v>
      </c>
    </row>
    <row r="79" spans="1:12" ht="46" customHeight="1">
      <c r="A79" s="4" t="s">
        <v>556</v>
      </c>
      <c r="B79" s="5" t="s">
        <v>293</v>
      </c>
      <c r="C79" s="5" t="s">
        <v>557</v>
      </c>
      <c r="D79" s="5" t="s">
        <v>558</v>
      </c>
      <c r="E79" s="5" t="s">
        <v>559</v>
      </c>
      <c r="F79" s="6" t="s">
        <v>769</v>
      </c>
      <c r="G79" s="5" t="s">
        <v>560</v>
      </c>
      <c r="H79" s="5" t="s">
        <v>37</v>
      </c>
      <c r="I79" s="7" t="s">
        <v>38</v>
      </c>
      <c r="J79" s="5" t="s">
        <v>199</v>
      </c>
      <c r="K79" s="8" t="s">
        <v>561</v>
      </c>
      <c r="L79" s="8"/>
    </row>
    <row r="80" spans="1:12" ht="46" customHeight="1">
      <c r="A80" s="4" t="s">
        <v>562</v>
      </c>
      <c r="B80" s="5" t="s">
        <v>293</v>
      </c>
      <c r="C80" s="5" t="s">
        <v>563</v>
      </c>
      <c r="D80" s="5" t="s">
        <v>564</v>
      </c>
      <c r="E80" s="5" t="s">
        <v>565</v>
      </c>
      <c r="F80" s="6" t="s">
        <v>770</v>
      </c>
      <c r="G80" s="5" t="s">
        <v>566</v>
      </c>
      <c r="H80" s="5" t="s">
        <v>126</v>
      </c>
      <c r="I80" s="7" t="s">
        <v>15</v>
      </c>
      <c r="J80" s="5" t="s">
        <v>199</v>
      </c>
      <c r="K80" s="8" t="s">
        <v>561</v>
      </c>
      <c r="L80" s="8" t="s">
        <v>567</v>
      </c>
    </row>
    <row r="81" spans="1:12" ht="46" customHeight="1">
      <c r="A81" s="4" t="s">
        <v>568</v>
      </c>
      <c r="B81" s="5" t="s">
        <v>293</v>
      </c>
      <c r="C81" s="5" t="s">
        <v>569</v>
      </c>
      <c r="D81" s="5" t="s">
        <v>570</v>
      </c>
      <c r="E81" s="5" t="s">
        <v>571</v>
      </c>
      <c r="F81" s="6" t="s">
        <v>771</v>
      </c>
      <c r="G81" s="5" t="s">
        <v>572</v>
      </c>
      <c r="H81" s="5" t="s">
        <v>37</v>
      </c>
      <c r="I81" s="7" t="s">
        <v>38</v>
      </c>
      <c r="J81" s="5" t="s">
        <v>199</v>
      </c>
      <c r="K81" s="8" t="s">
        <v>573</v>
      </c>
      <c r="L81" s="8"/>
    </row>
    <row r="82" spans="1:12" ht="46" customHeight="1">
      <c r="A82" s="4" t="s">
        <v>574</v>
      </c>
      <c r="B82" s="5" t="s">
        <v>293</v>
      </c>
      <c r="C82" s="5" t="s">
        <v>575</v>
      </c>
      <c r="D82" s="5" t="s">
        <v>576</v>
      </c>
      <c r="E82" s="5" t="s">
        <v>577</v>
      </c>
      <c r="F82" s="6">
        <v>3</v>
      </c>
      <c r="G82" s="5" t="s">
        <v>578</v>
      </c>
      <c r="H82" s="5" t="s">
        <v>37</v>
      </c>
      <c r="I82" s="7" t="s">
        <v>38</v>
      </c>
      <c r="J82" s="5" t="s">
        <v>199</v>
      </c>
      <c r="K82" s="8" t="s">
        <v>573</v>
      </c>
      <c r="L82" s="8"/>
    </row>
    <row r="83" spans="1:12" ht="46" customHeight="1">
      <c r="A83" s="4" t="s">
        <v>579</v>
      </c>
      <c r="B83" s="5" t="s">
        <v>293</v>
      </c>
      <c r="C83" s="5" t="s">
        <v>580</v>
      </c>
      <c r="D83" s="5" t="s">
        <v>581</v>
      </c>
      <c r="E83" s="5" t="s">
        <v>582</v>
      </c>
      <c r="F83" s="6">
        <v>60</v>
      </c>
      <c r="G83" s="5" t="s">
        <v>164</v>
      </c>
      <c r="H83" s="5" t="s">
        <v>37</v>
      </c>
      <c r="I83" s="7" t="s">
        <v>38</v>
      </c>
      <c r="J83" s="5" t="s">
        <v>199</v>
      </c>
      <c r="K83" s="8" t="s">
        <v>416</v>
      </c>
      <c r="L83" s="8" t="s">
        <v>583</v>
      </c>
    </row>
    <row r="84" spans="1:12" ht="46" customHeight="1">
      <c r="A84" s="4" t="s">
        <v>584</v>
      </c>
      <c r="B84" s="5" t="s">
        <v>293</v>
      </c>
      <c r="C84" s="5" t="s">
        <v>585</v>
      </c>
      <c r="D84" s="5" t="s">
        <v>586</v>
      </c>
      <c r="E84" s="5" t="s">
        <v>587</v>
      </c>
      <c r="F84" s="6">
        <v>20</v>
      </c>
      <c r="G84" s="5" t="s">
        <v>164</v>
      </c>
      <c r="H84" s="5" t="s">
        <v>37</v>
      </c>
      <c r="I84" s="7" t="s">
        <v>38</v>
      </c>
      <c r="J84" s="5" t="s">
        <v>199</v>
      </c>
      <c r="K84" s="8" t="s">
        <v>416</v>
      </c>
      <c r="L84" s="8" t="s">
        <v>583</v>
      </c>
    </row>
    <row r="85" spans="1:12" ht="46" customHeight="1">
      <c r="A85" s="4" t="s">
        <v>588</v>
      </c>
      <c r="B85" s="5" t="s">
        <v>293</v>
      </c>
      <c r="C85" s="5" t="s">
        <v>589</v>
      </c>
      <c r="D85" s="5" t="s">
        <v>590</v>
      </c>
      <c r="E85" s="5" t="s">
        <v>591</v>
      </c>
      <c r="F85" s="6">
        <v>20</v>
      </c>
      <c r="G85" s="5" t="s">
        <v>164</v>
      </c>
      <c r="H85" s="5" t="s">
        <v>37</v>
      </c>
      <c r="I85" s="7" t="s">
        <v>38</v>
      </c>
      <c r="J85" s="5" t="s">
        <v>199</v>
      </c>
      <c r="K85" s="8" t="s">
        <v>416</v>
      </c>
      <c r="L85" s="8" t="s">
        <v>583</v>
      </c>
    </row>
    <row r="86" spans="1:12" ht="46" customHeight="1">
      <c r="A86" s="4" t="s">
        <v>592</v>
      </c>
      <c r="B86" s="5" t="s">
        <v>293</v>
      </c>
      <c r="C86" s="5" t="s">
        <v>593</v>
      </c>
      <c r="D86" s="5" t="s">
        <v>594</v>
      </c>
      <c r="E86" s="5" t="s">
        <v>595</v>
      </c>
      <c r="F86" s="6" t="s">
        <v>596</v>
      </c>
      <c r="G86" s="5" t="s">
        <v>597</v>
      </c>
      <c r="H86" s="5" t="s">
        <v>37</v>
      </c>
      <c r="I86" s="7" t="s">
        <v>38</v>
      </c>
      <c r="J86" s="5" t="s">
        <v>39</v>
      </c>
      <c r="K86" s="8" t="s">
        <v>598</v>
      </c>
      <c r="L86" s="8" t="s">
        <v>599</v>
      </c>
    </row>
    <row r="87" spans="1:12" ht="46" customHeight="1">
      <c r="A87" s="4" t="s">
        <v>600</v>
      </c>
      <c r="B87" s="5" t="s">
        <v>293</v>
      </c>
      <c r="C87" s="5" t="s">
        <v>601</v>
      </c>
      <c r="D87" s="5" t="s">
        <v>602</v>
      </c>
      <c r="E87" s="5" t="s">
        <v>603</v>
      </c>
      <c r="F87" s="6">
        <v>20</v>
      </c>
      <c r="G87" s="5" t="s">
        <v>164</v>
      </c>
      <c r="H87" s="5" t="s">
        <v>37</v>
      </c>
      <c r="I87" s="7" t="s">
        <v>38</v>
      </c>
      <c r="J87" s="5" t="s">
        <v>199</v>
      </c>
      <c r="K87" s="8" t="s">
        <v>416</v>
      </c>
      <c r="L87" s="8" t="s">
        <v>604</v>
      </c>
    </row>
    <row r="88" spans="1:12" ht="46" customHeight="1">
      <c r="A88" s="4" t="s">
        <v>605</v>
      </c>
      <c r="B88" s="5" t="s">
        <v>293</v>
      </c>
      <c r="C88" s="5" t="s">
        <v>606</v>
      </c>
      <c r="D88" s="5" t="s">
        <v>607</v>
      </c>
      <c r="E88" s="5" t="s">
        <v>573</v>
      </c>
      <c r="F88" s="6" t="s">
        <v>608</v>
      </c>
      <c r="G88" s="5" t="s">
        <v>609</v>
      </c>
      <c r="H88" s="5" t="s">
        <v>37</v>
      </c>
      <c r="I88" s="7" t="s">
        <v>38</v>
      </c>
      <c r="J88" s="5" t="s">
        <v>199</v>
      </c>
      <c r="K88" s="8" t="s">
        <v>416</v>
      </c>
      <c r="L88" s="8" t="s">
        <v>610</v>
      </c>
    </row>
    <row r="89" spans="1:12" ht="46" customHeight="1">
      <c r="A89" s="4" t="s">
        <v>611</v>
      </c>
      <c r="B89" s="5" t="s">
        <v>293</v>
      </c>
      <c r="C89" s="5" t="s">
        <v>612</v>
      </c>
      <c r="D89" s="5" t="s">
        <v>613</v>
      </c>
      <c r="E89" s="5" t="s">
        <v>614</v>
      </c>
      <c r="F89" s="6" t="s">
        <v>772</v>
      </c>
      <c r="G89" s="5" t="s">
        <v>615</v>
      </c>
      <c r="H89" s="5" t="s">
        <v>37</v>
      </c>
      <c r="I89" s="7" t="s">
        <v>38</v>
      </c>
      <c r="J89" s="5" t="s">
        <v>199</v>
      </c>
      <c r="K89" s="8" t="s">
        <v>616</v>
      </c>
      <c r="L89" s="8"/>
    </row>
    <row r="90" spans="1:12" ht="46" customHeight="1">
      <c r="A90" s="4" t="s">
        <v>617</v>
      </c>
      <c r="B90" s="5" t="s">
        <v>293</v>
      </c>
      <c r="C90" s="5" t="s">
        <v>612</v>
      </c>
      <c r="D90" s="5" t="s">
        <v>618</v>
      </c>
      <c r="E90" s="5" t="s">
        <v>619</v>
      </c>
      <c r="F90" s="6" t="s">
        <v>773</v>
      </c>
      <c r="G90" s="5" t="s">
        <v>615</v>
      </c>
      <c r="H90" s="5" t="s">
        <v>126</v>
      </c>
      <c r="I90" s="7" t="s">
        <v>38</v>
      </c>
      <c r="J90" s="5" t="s">
        <v>199</v>
      </c>
      <c r="K90" s="8" t="s">
        <v>616</v>
      </c>
      <c r="L90" s="8"/>
    </row>
    <row r="91" spans="1:12" ht="46" customHeight="1">
      <c r="A91" s="4" t="s">
        <v>620</v>
      </c>
      <c r="B91" s="5" t="s">
        <v>293</v>
      </c>
      <c r="C91" s="5" t="s">
        <v>621</v>
      </c>
      <c r="D91" s="5" t="s">
        <v>622</v>
      </c>
      <c r="E91" s="5" t="s">
        <v>623</v>
      </c>
      <c r="F91" s="6" t="s">
        <v>774</v>
      </c>
      <c r="G91" s="5" t="s">
        <v>624</v>
      </c>
      <c r="H91" s="5" t="s">
        <v>126</v>
      </c>
      <c r="I91" s="7" t="s">
        <v>9</v>
      </c>
      <c r="J91" s="5" t="s">
        <v>199</v>
      </c>
      <c r="K91" s="8" t="s">
        <v>625</v>
      </c>
      <c r="L91" s="8"/>
    </row>
    <row r="92" spans="1:12" ht="46" customHeight="1">
      <c r="A92" s="4" t="s">
        <v>626</v>
      </c>
      <c r="B92" s="5" t="s">
        <v>363</v>
      </c>
      <c r="C92" s="5" t="s">
        <v>627</v>
      </c>
      <c r="D92" s="5" t="s">
        <v>628</v>
      </c>
      <c r="E92" s="5" t="s">
        <v>629</v>
      </c>
      <c r="F92" s="6" t="s">
        <v>630</v>
      </c>
      <c r="G92" s="5" t="s">
        <v>631</v>
      </c>
      <c r="H92" s="5" t="s">
        <v>37</v>
      </c>
      <c r="I92" s="7" t="s">
        <v>38</v>
      </c>
      <c r="J92" s="5" t="s">
        <v>199</v>
      </c>
      <c r="K92" s="8" t="s">
        <v>444</v>
      </c>
      <c r="L92" s="8" t="s">
        <v>632</v>
      </c>
    </row>
    <row r="93" spans="1:12" ht="46" customHeight="1">
      <c r="A93" s="4" t="s">
        <v>633</v>
      </c>
      <c r="B93" s="5" t="s">
        <v>363</v>
      </c>
      <c r="C93" s="5" t="s">
        <v>634</v>
      </c>
      <c r="D93" s="5" t="s">
        <v>635</v>
      </c>
      <c r="E93" s="5" t="s">
        <v>636</v>
      </c>
      <c r="F93" s="6" t="s">
        <v>637</v>
      </c>
      <c r="G93" s="5" t="s">
        <v>638</v>
      </c>
      <c r="H93" s="5" t="s">
        <v>37</v>
      </c>
      <c r="I93" s="7" t="s">
        <v>38</v>
      </c>
      <c r="J93" s="5" t="s">
        <v>199</v>
      </c>
      <c r="K93" s="8" t="s">
        <v>639</v>
      </c>
      <c r="L93" s="8" t="s">
        <v>640</v>
      </c>
    </row>
    <row r="94" spans="1:12" ht="46" customHeight="1">
      <c r="A94" s="4" t="s">
        <v>641</v>
      </c>
      <c r="B94" s="5" t="s">
        <v>363</v>
      </c>
      <c r="C94" s="5" t="s">
        <v>642</v>
      </c>
      <c r="D94" s="5" t="s">
        <v>643</v>
      </c>
      <c r="E94" s="5" t="s">
        <v>644</v>
      </c>
      <c r="F94" s="6" t="s">
        <v>645</v>
      </c>
      <c r="G94" s="5" t="s">
        <v>646</v>
      </c>
      <c r="H94" s="5" t="s">
        <v>37</v>
      </c>
      <c r="I94" s="7" t="s">
        <v>38</v>
      </c>
      <c r="J94" s="5" t="s">
        <v>199</v>
      </c>
      <c r="K94" s="8" t="s">
        <v>647</v>
      </c>
      <c r="L94" s="8" t="s">
        <v>648</v>
      </c>
    </row>
    <row r="95" spans="1:12" ht="46" customHeight="1">
      <c r="A95" s="4" t="s">
        <v>649</v>
      </c>
      <c r="B95" s="5" t="s">
        <v>363</v>
      </c>
      <c r="C95" s="5" t="s">
        <v>650</v>
      </c>
      <c r="D95" s="5" t="s">
        <v>651</v>
      </c>
      <c r="E95" s="5" t="s">
        <v>652</v>
      </c>
      <c r="F95" s="6" t="s">
        <v>653</v>
      </c>
      <c r="G95" s="5" t="s">
        <v>654</v>
      </c>
      <c r="H95" s="5" t="s">
        <v>37</v>
      </c>
      <c r="I95" s="7" t="s">
        <v>38</v>
      </c>
      <c r="J95" s="5" t="s">
        <v>199</v>
      </c>
      <c r="K95" s="8" t="s">
        <v>655</v>
      </c>
      <c r="L95" s="8" t="s">
        <v>656</v>
      </c>
    </row>
    <row r="96" spans="1:12" ht="46" customHeight="1">
      <c r="A96" s="4" t="s">
        <v>657</v>
      </c>
      <c r="B96" s="5" t="s">
        <v>363</v>
      </c>
      <c r="C96" s="5" t="s">
        <v>658</v>
      </c>
      <c r="D96" s="5" t="s">
        <v>659</v>
      </c>
      <c r="E96" s="5" t="s">
        <v>660</v>
      </c>
      <c r="F96" s="6" t="s">
        <v>661</v>
      </c>
      <c r="G96" s="5" t="s">
        <v>662</v>
      </c>
      <c r="H96" s="5" t="s">
        <v>37</v>
      </c>
      <c r="I96" s="7" t="s">
        <v>38</v>
      </c>
      <c r="J96" s="5" t="s">
        <v>199</v>
      </c>
      <c r="K96" s="8" t="s">
        <v>416</v>
      </c>
      <c r="L96" s="8" t="s">
        <v>663</v>
      </c>
    </row>
    <row r="97" spans="1:12" ht="46" customHeight="1">
      <c r="A97" s="4" t="s">
        <v>664</v>
      </c>
      <c r="B97" s="5" t="s">
        <v>665</v>
      </c>
      <c r="C97" s="5" t="s">
        <v>666</v>
      </c>
      <c r="D97" s="5" t="s">
        <v>667</v>
      </c>
      <c r="E97" s="5" t="s">
        <v>668</v>
      </c>
      <c r="F97" s="6"/>
      <c r="G97" s="5" t="s">
        <v>669</v>
      </c>
      <c r="H97" s="5" t="s">
        <v>37</v>
      </c>
      <c r="I97" s="7" t="s">
        <v>38</v>
      </c>
      <c r="J97" s="5" t="s">
        <v>39</v>
      </c>
      <c r="K97" s="8" t="s">
        <v>670</v>
      </c>
      <c r="L97" s="8"/>
    </row>
    <row r="98" spans="1:12" ht="46" customHeight="1">
      <c r="A98" s="4" t="s">
        <v>671</v>
      </c>
      <c r="B98" s="5" t="s">
        <v>665</v>
      </c>
      <c r="C98" s="5" t="s">
        <v>672</v>
      </c>
      <c r="D98" s="5" t="s">
        <v>673</v>
      </c>
      <c r="E98" s="5" t="s">
        <v>674</v>
      </c>
      <c r="F98" s="6" t="s">
        <v>775</v>
      </c>
      <c r="G98" s="5" t="s">
        <v>675</v>
      </c>
      <c r="H98" s="5" t="s">
        <v>37</v>
      </c>
      <c r="I98" s="7" t="s">
        <v>38</v>
      </c>
      <c r="J98" s="5" t="s">
        <v>199</v>
      </c>
      <c r="K98" s="8" t="s">
        <v>670</v>
      </c>
      <c r="L98" s="8"/>
    </row>
    <row r="99" spans="1:12" ht="46" customHeight="1">
      <c r="A99" s="4" t="s">
        <v>676</v>
      </c>
      <c r="B99" s="5" t="s">
        <v>665</v>
      </c>
      <c r="C99" s="5" t="s">
        <v>677</v>
      </c>
      <c r="D99" s="5" t="s">
        <v>678</v>
      </c>
      <c r="E99" s="5" t="s">
        <v>679</v>
      </c>
      <c r="F99" s="6"/>
      <c r="G99" s="5" t="s">
        <v>680</v>
      </c>
      <c r="H99" s="5" t="s">
        <v>126</v>
      </c>
      <c r="I99" s="7" t="s">
        <v>15</v>
      </c>
      <c r="J99" s="5" t="s">
        <v>199</v>
      </c>
      <c r="K99" s="8" t="s">
        <v>681</v>
      </c>
      <c r="L99" s="8"/>
    </row>
    <row r="100" spans="1:12" ht="46" customHeight="1">
      <c r="A100" s="4" t="s">
        <v>682</v>
      </c>
      <c r="B100" s="5" t="s">
        <v>665</v>
      </c>
      <c r="C100" s="5" t="s">
        <v>683</v>
      </c>
      <c r="D100" s="5" t="s">
        <v>684</v>
      </c>
      <c r="E100" s="5" t="s">
        <v>685</v>
      </c>
      <c r="F100" s="6" t="s">
        <v>776</v>
      </c>
      <c r="G100" s="5" t="s">
        <v>686</v>
      </c>
      <c r="H100" s="5" t="s">
        <v>37</v>
      </c>
      <c r="I100" s="7" t="s">
        <v>38</v>
      </c>
      <c r="J100" s="5" t="s">
        <v>109</v>
      </c>
      <c r="K100" s="8" t="s">
        <v>687</v>
      </c>
      <c r="L100" s="8"/>
    </row>
    <row r="101" spans="1:12" ht="46" customHeight="1">
      <c r="A101" s="4" t="s">
        <v>688</v>
      </c>
      <c r="B101" s="5" t="s">
        <v>665</v>
      </c>
      <c r="C101" s="5" t="s">
        <v>689</v>
      </c>
      <c r="D101" s="5" t="s">
        <v>690</v>
      </c>
      <c r="E101" s="5" t="s">
        <v>691</v>
      </c>
      <c r="F101" s="6"/>
      <c r="G101" s="5" t="s">
        <v>78</v>
      </c>
      <c r="H101" s="5" t="s">
        <v>126</v>
      </c>
      <c r="I101" s="7" t="s">
        <v>38</v>
      </c>
      <c r="J101" s="5" t="s">
        <v>199</v>
      </c>
      <c r="K101" s="8" t="s">
        <v>692</v>
      </c>
      <c r="L101" s="8"/>
    </row>
  </sheetData>
  <conditionalFormatting sqref="I2:I101">
    <cfRule type="containsText" dxfId="15" priority="1" operator="containsText" text="Confirmado"/>
    <cfRule type="containsText" dxfId="14" priority="2" operator="containsText" text="Pendiente"/>
    <cfRule type="containsText" dxfId="13" priority="3" operator="containsText" text="Bloqueado"/>
    <cfRule type="containsText" dxfId="12" priority="4" operator="containsText" text="Por confirmar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Listas!$C$2:$C$3</xm:f>
          </x14:formula1>
          <xm:sqref>H2:H101</xm:sqref>
        </x14:dataValidation>
        <x14:dataValidation type="list" xr:uid="{00000000-0002-0000-0100-000001000000}">
          <x14:formula1>
            <xm:f>Listas!$A$2:$A$6</xm:f>
          </x14:formula1>
          <xm:sqref>I2:I101</xm:sqref>
        </x14:dataValidation>
        <x14:dataValidation type="list" xr:uid="{00000000-0002-0000-0100-000002000000}">
          <x14:formula1>
            <xm:f>Listas!$B$2:$B$6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showGridLines="0" workbookViewId="0"/>
  </sheetViews>
  <sheetFormatPr baseColWidth="10" defaultColWidth="8.83203125" defaultRowHeight="14"/>
  <cols>
    <col min="1" max="3" width="24" customWidth="1"/>
  </cols>
  <sheetData>
    <row r="1" spans="1:3" ht="15">
      <c r="A1" s="2" t="s">
        <v>26</v>
      </c>
      <c r="B1" s="2" t="s">
        <v>27</v>
      </c>
      <c r="C1" s="2" t="s">
        <v>25</v>
      </c>
    </row>
    <row r="2" spans="1:3" ht="15">
      <c r="A2" s="1" t="s">
        <v>206</v>
      </c>
      <c r="B2" s="1" t="s">
        <v>199</v>
      </c>
      <c r="C2" s="1" t="s">
        <v>37</v>
      </c>
    </row>
    <row r="3" spans="1:3" ht="15">
      <c r="A3" s="1" t="s">
        <v>9</v>
      </c>
      <c r="B3" s="1" t="s">
        <v>39</v>
      </c>
      <c r="C3" s="1" t="s">
        <v>126</v>
      </c>
    </row>
    <row r="4" spans="1:3" ht="15">
      <c r="A4" s="1" t="s">
        <v>38</v>
      </c>
      <c r="B4" s="1" t="s">
        <v>109</v>
      </c>
      <c r="C4" s="1"/>
    </row>
    <row r="5" spans="1:3" ht="15">
      <c r="A5" s="1" t="s">
        <v>15</v>
      </c>
      <c r="B5" s="1" t="s">
        <v>693</v>
      </c>
      <c r="C5" s="1"/>
    </row>
    <row r="6" spans="1:3" ht="15">
      <c r="A6" s="1" t="s">
        <v>284</v>
      </c>
      <c r="B6" s="1" t="s">
        <v>694</v>
      </c>
      <c r="C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workbookViewId="0">
      <selection activeCell="E12" sqref="E12"/>
    </sheetView>
  </sheetViews>
  <sheetFormatPr baseColWidth="10" defaultColWidth="8.83203125" defaultRowHeight="14"/>
  <cols>
    <col min="1" max="1" width="12" customWidth="1"/>
    <col min="2" max="2" width="18" customWidth="1"/>
    <col min="3" max="3" width="37" customWidth="1"/>
    <col min="4" max="4" width="47" customWidth="1"/>
    <col min="5" max="5" width="15" customWidth="1"/>
    <col min="6" max="6" width="42" customWidth="1"/>
  </cols>
  <sheetData>
    <row r="1" spans="1:6" ht="32" customHeight="1">
      <c r="A1" s="19" t="s">
        <v>695</v>
      </c>
      <c r="B1" s="19" t="s">
        <v>696</v>
      </c>
      <c r="C1" s="19" t="s">
        <v>697</v>
      </c>
      <c r="D1" s="19" t="s">
        <v>698</v>
      </c>
      <c r="E1" s="19" t="s">
        <v>26</v>
      </c>
      <c r="F1" s="19" t="s">
        <v>699</v>
      </c>
    </row>
    <row r="2" spans="1:6" ht="52" customHeight="1">
      <c r="A2" s="15" t="s">
        <v>700</v>
      </c>
      <c r="B2" s="16" t="s">
        <v>509</v>
      </c>
      <c r="C2" s="16" t="s">
        <v>701</v>
      </c>
      <c r="D2" s="16" t="s">
        <v>702</v>
      </c>
      <c r="E2" s="16" t="s">
        <v>703</v>
      </c>
      <c r="F2" s="16" t="s">
        <v>704</v>
      </c>
    </row>
    <row r="3" spans="1:6" ht="52" customHeight="1">
      <c r="A3" s="15" t="s">
        <v>705</v>
      </c>
      <c r="B3" s="16" t="s">
        <v>706</v>
      </c>
      <c r="C3" s="16" t="s">
        <v>707</v>
      </c>
      <c r="D3" s="16" t="s">
        <v>708</v>
      </c>
      <c r="E3" s="16" t="s">
        <v>703</v>
      </c>
      <c r="F3" s="16" t="s">
        <v>709</v>
      </c>
    </row>
    <row r="4" spans="1:6" ht="52" customHeight="1">
      <c r="A4" s="15" t="s">
        <v>710</v>
      </c>
      <c r="B4" s="16" t="s">
        <v>711</v>
      </c>
      <c r="C4" s="16" t="s">
        <v>712</v>
      </c>
      <c r="D4" s="16" t="s">
        <v>713</v>
      </c>
      <c r="E4" s="16" t="s">
        <v>703</v>
      </c>
      <c r="F4" s="16" t="s">
        <v>714</v>
      </c>
    </row>
    <row r="5" spans="1:6" ht="52" customHeight="1">
      <c r="A5" s="15" t="s">
        <v>715</v>
      </c>
      <c r="B5" s="16" t="s">
        <v>716</v>
      </c>
      <c r="C5" s="16" t="s">
        <v>717</v>
      </c>
      <c r="D5" s="16" t="s">
        <v>718</v>
      </c>
      <c r="E5" s="16" t="s">
        <v>719</v>
      </c>
      <c r="F5" s="16" t="s">
        <v>720</v>
      </c>
    </row>
    <row r="6" spans="1:6" ht="52" customHeight="1">
      <c r="A6" s="15" t="s">
        <v>721</v>
      </c>
      <c r="B6" s="16" t="s">
        <v>722</v>
      </c>
      <c r="C6" s="16" t="s">
        <v>723</v>
      </c>
      <c r="D6" s="16" t="s">
        <v>724</v>
      </c>
      <c r="E6" s="16" t="s">
        <v>206</v>
      </c>
      <c r="F6" s="16" t="s">
        <v>725</v>
      </c>
    </row>
    <row r="7" spans="1:6" ht="52" customHeight="1">
      <c r="A7" s="15" t="s">
        <v>726</v>
      </c>
      <c r="B7" s="16" t="s">
        <v>727</v>
      </c>
      <c r="C7" s="16" t="s">
        <v>728</v>
      </c>
      <c r="D7" s="16" t="s">
        <v>729</v>
      </c>
      <c r="E7" s="16" t="s">
        <v>730</v>
      </c>
      <c r="F7" s="16" t="s">
        <v>731</v>
      </c>
    </row>
    <row r="8" spans="1:6" ht="52" customHeight="1">
      <c r="A8" s="15" t="s">
        <v>732</v>
      </c>
      <c r="B8" s="16" t="s">
        <v>733</v>
      </c>
      <c r="C8" s="16" t="s">
        <v>734</v>
      </c>
      <c r="D8" s="16" t="s">
        <v>735</v>
      </c>
      <c r="E8" s="16" t="s">
        <v>703</v>
      </c>
      <c r="F8" s="16" t="s">
        <v>736</v>
      </c>
    </row>
    <row r="9" spans="1:6" ht="52" customHeight="1">
      <c r="A9" s="15" t="s">
        <v>737</v>
      </c>
      <c r="B9" s="16" t="s">
        <v>738</v>
      </c>
      <c r="C9" s="16" t="s">
        <v>739</v>
      </c>
      <c r="D9" s="16" t="s">
        <v>740</v>
      </c>
      <c r="E9" s="16" t="s">
        <v>703</v>
      </c>
      <c r="F9" s="16" t="s">
        <v>741</v>
      </c>
    </row>
    <row r="10" spans="1:6" ht="52" customHeight="1">
      <c r="A10" s="15" t="s">
        <v>742</v>
      </c>
      <c r="B10" s="16" t="s">
        <v>343</v>
      </c>
      <c r="C10" s="16" t="s">
        <v>743</v>
      </c>
      <c r="D10" s="16" t="s">
        <v>744</v>
      </c>
      <c r="E10" s="16" t="s">
        <v>703</v>
      </c>
      <c r="F10" s="16" t="s">
        <v>745</v>
      </c>
    </row>
    <row r="11" spans="1:6" ht="52" customHeight="1">
      <c r="A11" s="15" t="s">
        <v>746</v>
      </c>
      <c r="B11" s="16" t="s">
        <v>747</v>
      </c>
      <c r="C11" s="16" t="s">
        <v>748</v>
      </c>
      <c r="D11" s="16" t="s">
        <v>749</v>
      </c>
      <c r="E11" s="16" t="s">
        <v>703</v>
      </c>
      <c r="F11" s="16" t="s">
        <v>750</v>
      </c>
    </row>
    <row r="12" spans="1:6" ht="52" customHeight="1">
      <c r="A12" s="17" t="s">
        <v>751</v>
      </c>
      <c r="B12" s="18" t="s">
        <v>672</v>
      </c>
      <c r="C12" s="18" t="s">
        <v>752</v>
      </c>
      <c r="D12" s="18" t="s">
        <v>753</v>
      </c>
      <c r="E12" s="18" t="s">
        <v>206</v>
      </c>
      <c r="F12" s="18" t="s">
        <v>754</v>
      </c>
    </row>
  </sheetData>
  <conditionalFormatting sqref="E2:E12">
    <cfRule type="containsText" dxfId="11" priority="1" operator="containsText" text="Bloqueante"/>
    <cfRule type="containsText" dxfId="10" priority="2" operator="containsText" text="Adoptada"/>
    <cfRule type="containsText" dxfId="9" priority="3" operator="containsText" text="Propuesta"/>
    <cfRule type="containsText" dxfId="8" priority="4" operator="containsText" text="Bloqueante"/>
    <cfRule type="containsText" dxfId="7" priority="5" operator="containsText" text="Adoptada"/>
    <cfRule type="containsText" dxfId="6" priority="6" operator="containsText" text="Propuesta"/>
    <cfRule type="containsText" dxfId="5" priority="7" operator="containsText" text="Bloqueante"/>
    <cfRule type="containsText" dxfId="4" priority="8" operator="containsText" text="Adoptada"/>
    <cfRule type="containsText" dxfId="3" priority="9" operator="containsText" text="Propuesta"/>
    <cfRule type="containsText" dxfId="2" priority="10" operator="containsText" text="Bloqueante"/>
    <cfRule type="containsText" dxfId="1" priority="11" operator="containsText" text="Adoptada"/>
    <cfRule type="containsText" dxfId="0" priority="12" operator="containsText" text="Propuesta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Inicio</vt:lpstr>
      <vt:lpstr>Levantamiento técnico</vt:lpstr>
      <vt:lpstr>Listas</vt:lpstr>
      <vt:lpstr>Decisiones y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Pablo Coloma</cp:lastModifiedBy>
  <dcterms:created xsi:type="dcterms:W3CDTF">2026-08-08T20:20:12Z</dcterms:created>
  <dcterms:modified xsi:type="dcterms:W3CDTF">2026-08-10T01:12:39Z</dcterms:modified>
</cp:coreProperties>
</file>